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66925"/>
  <xr:revisionPtr revIDLastSave="0" documentId="13_ncr:1_{D60D1EC9-0132-47C3-B141-E79B60D1C365}" xr6:coauthVersionLast="47" xr6:coauthVersionMax="47" xr10:uidLastSave="{00000000-0000-0000-0000-000000000000}"/>
  <bookViews>
    <workbookView xWindow="15630" yWindow="-120" windowWidth="16440" windowHeight="28320" activeTab="3" xr2:uid="{725DDE4D-8043-473F-BC45-F6288B9EE9AC}"/>
  </bookViews>
  <sheets>
    <sheet name="測量データ" sheetId="2" r:id="rId1"/>
    <sheet name="自己測定データ" sheetId="7" r:id="rId2"/>
    <sheet name="隅切り" sheetId="8" r:id="rId3"/>
    <sheet name="汎用" sheetId="9" r:id="rId4"/>
  </sheets>
  <definedNames>
    <definedName name="AX" localSheetId="2">隅切り!$C$39</definedName>
    <definedName name="AX" localSheetId="1">自己測定データ!$C$31</definedName>
    <definedName name="AX" localSheetId="0">測量データ!$C$31</definedName>
    <definedName name="AY" localSheetId="2">隅切り!$C$40</definedName>
    <definedName name="AY" localSheetId="1">自己測定データ!$C$32</definedName>
    <definedName name="AY" localSheetId="0">測量データ!$C$32</definedName>
    <definedName name="奥行距離" localSheetId="2">隅切り!$C$47</definedName>
    <definedName name="奥行距離" localSheetId="1">自己測定データ!$B$37</definedName>
    <definedName name="奥行距離" localSheetId="0">測量データ!$C$39</definedName>
    <definedName name="間口距離" localSheetId="2">隅切り!$C$37</definedName>
    <definedName name="間口距離" localSheetId="1">自己測定データ!$C$29</definedName>
    <definedName name="間口距離" localSheetId="0">測量データ!$C$29</definedName>
    <definedName name="傾き" localSheetId="2">隅切り!$C$38</definedName>
    <definedName name="傾き" localSheetId="1">自己測定データ!$C$30</definedName>
    <definedName name="傾き" localSheetId="0">測量データ!$C$30</definedName>
    <definedName name="最後Ｘ" localSheetId="2">隅切り!$C$21</definedName>
    <definedName name="最後Ｘ" localSheetId="1">自己測定データ!$C$13</definedName>
    <definedName name="最後X" localSheetId="0">測量データ!$C$13</definedName>
    <definedName name="最後Ｙ" localSheetId="2">隅切り!$D$21</definedName>
    <definedName name="最後Ｙ" localSheetId="1">自己測定データ!$D$13</definedName>
    <definedName name="最後Y" localSheetId="0">測量データ!$D$13</definedName>
    <definedName name="最初Ｘ" localSheetId="2">隅切り!$C$6</definedName>
    <definedName name="最初Ｘ" localSheetId="1">自己測定データ!$C$6</definedName>
    <definedName name="最初X" localSheetId="0">測量データ!$C$6</definedName>
    <definedName name="最初Ｙ" localSheetId="2">隅切り!$D$6</definedName>
    <definedName name="最初Ｙ" localSheetId="1">自己測定データ!$D$6</definedName>
    <definedName name="最初Y" localSheetId="0">測量データ!$D$6</definedName>
    <definedName name="実際の距離" localSheetId="2">隅切り!$C$28</definedName>
    <definedName name="実際の距離" localSheetId="1">自己測定データ!$C$20</definedName>
    <definedName name="実際の距離" localSheetId="0">測量データ!$C$20</definedName>
    <definedName name="縮尺" localSheetId="2">隅切り!$B$27</definedName>
    <definedName name="縮尺" localSheetId="1">自己測定データ!$B$19</definedName>
    <definedName name="縮尺" localSheetId="0">測量データ!$B$19</definedName>
    <definedName name="図上の距離" localSheetId="2">隅切り!$C$29</definedName>
    <definedName name="図上の距離" localSheetId="1">自己測定データ!$C$21</definedName>
    <definedName name="図上の距離" localSheetId="0">測量データ!$C$21</definedName>
    <definedName name="直交点のＸ最小" localSheetId="2">隅切り!$J$25</definedName>
    <definedName name="直交点のＸ最小" localSheetId="1">自己測定データ!$J$17</definedName>
    <definedName name="直交点のX最小" localSheetId="0">測量データ!$J$17</definedName>
    <definedName name="直交点のＸ最大" localSheetId="2">隅切り!$J$24</definedName>
    <definedName name="直交点のＸ最大" localSheetId="1">自己測定データ!$J$16</definedName>
    <definedName name="直交点のX最大" localSheetId="0">測量データ!$J$16</definedName>
    <definedName name="直交点のＹ最小" localSheetId="2">隅切り!$K$25</definedName>
    <definedName name="直交点のＹ最小" localSheetId="1">自己測定データ!$K$17</definedName>
    <definedName name="直交点のY最小" localSheetId="0">測量データ!$K$17</definedName>
    <definedName name="直交点のＹ最大" localSheetId="2">隅切り!$K$24</definedName>
    <definedName name="直交点のＹ最大" localSheetId="1">自己測定データ!$K$16</definedName>
    <definedName name="直交点のY最大" localSheetId="0">測量データ!$K$16</definedName>
    <definedName name="面積" localSheetId="2">隅切り!$B$34</definedName>
    <definedName name="面積" localSheetId="1">自己測定データ!$B$26</definedName>
    <definedName name="面積" localSheetId="0">測量データ!$B$26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9" l="1"/>
  <c r="F21" i="9"/>
  <c r="E40" i="9"/>
  <c r="E55" i="9"/>
  <c r="F55" i="9"/>
  <c r="F56" i="9"/>
  <c r="E56" i="9"/>
  <c r="E12" i="9" l="1"/>
  <c r="E11" i="9"/>
  <c r="E68" i="9"/>
  <c r="E59" i="9"/>
  <c r="E58" i="9"/>
  <c r="E44" i="9"/>
  <c r="E43" i="9"/>
  <c r="E32" i="9"/>
  <c r="E31" i="9"/>
  <c r="E25" i="9"/>
  <c r="E24" i="9"/>
  <c r="D3" i="9"/>
  <c r="D55" i="2"/>
  <c r="C55" i="2"/>
  <c r="D54" i="2"/>
  <c r="C54" i="2"/>
  <c r="C45" i="2"/>
  <c r="E21" i="9" l="1"/>
  <c r="C50" i="2"/>
  <c r="C52" i="2"/>
  <c r="C51" i="2"/>
  <c r="C49" i="2"/>
  <c r="D32" i="8" l="1"/>
  <c r="C32" i="8"/>
  <c r="D31" i="8"/>
  <c r="C31" i="8"/>
  <c r="B27" i="8"/>
  <c r="E21" i="8" s="1"/>
  <c r="H22" i="8"/>
  <c r="G22" i="8"/>
  <c r="D22" i="8"/>
  <c r="C22" i="8" a="1"/>
  <c r="C22" i="8" s="1"/>
  <c r="H5" i="8"/>
  <c r="G5" i="8"/>
  <c r="D5" i="8"/>
  <c r="C5" i="8"/>
  <c r="G5" i="7"/>
  <c r="G14" i="7"/>
  <c r="G5" i="2"/>
  <c r="G14" i="2"/>
  <c r="E14" i="8" l="1"/>
  <c r="F14" i="8"/>
  <c r="E18" i="8"/>
  <c r="F18" i="8"/>
  <c r="E22" i="8"/>
  <c r="E19" i="8"/>
  <c r="F19" i="8"/>
  <c r="E20" i="8"/>
  <c r="F20" i="8"/>
  <c r="G19" i="8" s="1"/>
  <c r="F21" i="8"/>
  <c r="F22" i="8"/>
  <c r="G21" i="8" s="1"/>
  <c r="H21" i="8" s="1"/>
  <c r="E15" i="8"/>
  <c r="F15" i="8"/>
  <c r="J40" i="8" s="1"/>
  <c r="F16" i="8"/>
  <c r="G17" i="8" s="1"/>
  <c r="F17" i="8"/>
  <c r="G18" i="8" s="1"/>
  <c r="H18" i="8" s="1"/>
  <c r="E16" i="8"/>
  <c r="E17" i="8"/>
  <c r="F13" i="8"/>
  <c r="G14" i="8" s="1"/>
  <c r="H14" i="8" s="1"/>
  <c r="E8" i="8"/>
  <c r="E9" i="8"/>
  <c r="F9" i="8"/>
  <c r="J39" i="8" s="1"/>
  <c r="F10" i="8"/>
  <c r="E10" i="8"/>
  <c r="E11" i="8"/>
  <c r="E12" i="8"/>
  <c r="F8" i="8"/>
  <c r="F11" i="8"/>
  <c r="F12" i="8"/>
  <c r="E5" i="8"/>
  <c r="F5" i="8"/>
  <c r="E6" i="8"/>
  <c r="C29" i="8"/>
  <c r="F7" i="8"/>
  <c r="F6" i="8"/>
  <c r="E7" i="8"/>
  <c r="E13" i="8"/>
  <c r="C43" i="8" s="1"/>
  <c r="D24" i="7"/>
  <c r="C24" i="7"/>
  <c r="D23" i="7"/>
  <c r="C23" i="7"/>
  <c r="H14" i="7"/>
  <c r="D14" i="7"/>
  <c r="C14" i="7" a="1"/>
  <c r="C14" i="7" s="1"/>
  <c r="H5" i="7"/>
  <c r="D5" i="7"/>
  <c r="C5" i="7"/>
  <c r="I39" i="8" l="1"/>
  <c r="H19" i="8"/>
  <c r="I40" i="8"/>
  <c r="H37" i="8" s="1"/>
  <c r="G12" i="8"/>
  <c r="H12" i="8" s="1"/>
  <c r="G9" i="8"/>
  <c r="H9" i="8" s="1"/>
  <c r="C42" i="8"/>
  <c r="C39" i="8" s="1"/>
  <c r="G6" i="8"/>
  <c r="H6" i="8" s="1"/>
  <c r="G20" i="8"/>
  <c r="H20" i="8" s="1"/>
  <c r="H17" i="8"/>
  <c r="D43" i="8"/>
  <c r="G16" i="8"/>
  <c r="H16" i="8" s="1"/>
  <c r="G15" i="8"/>
  <c r="H15" i="8" s="1"/>
  <c r="G13" i="8"/>
  <c r="H13" i="8" s="1"/>
  <c r="G8" i="8"/>
  <c r="H8" i="8" s="1"/>
  <c r="G10" i="8"/>
  <c r="H10" i="8" s="1"/>
  <c r="G11" i="8"/>
  <c r="H11" i="8" s="1"/>
  <c r="G7" i="8"/>
  <c r="H7" i="8" s="1"/>
  <c r="D42" i="8"/>
  <c r="C40" i="8" s="1"/>
  <c r="C21" i="7"/>
  <c r="B19" i="7" s="1"/>
  <c r="E13" i="7" s="1"/>
  <c r="F5" i="7"/>
  <c r="D14" i="2"/>
  <c r="H5" i="2"/>
  <c r="H14" i="2"/>
  <c r="D5" i="2"/>
  <c r="C14" i="2" a="1"/>
  <c r="C14" i="2" s="1"/>
  <c r="C5" i="2"/>
  <c r="D24" i="2"/>
  <c r="C24" i="2"/>
  <c r="D23" i="2"/>
  <c r="C23" i="2"/>
  <c r="E14" i="7" l="1"/>
  <c r="E7" i="7"/>
  <c r="F11" i="7"/>
  <c r="F9" i="7"/>
  <c r="E9" i="7"/>
  <c r="E12" i="7"/>
  <c r="H23" i="8"/>
  <c r="B34" i="8" s="1"/>
  <c r="C38" i="8"/>
  <c r="F14" i="7"/>
  <c r="F6" i="7"/>
  <c r="E6" i="7"/>
  <c r="E5" i="7"/>
  <c r="F13" i="7"/>
  <c r="G12" i="7" s="1"/>
  <c r="H12" i="7" s="1"/>
  <c r="F12" i="7"/>
  <c r="G13" i="7" s="1"/>
  <c r="H13" i="7" s="1"/>
  <c r="G10" i="7"/>
  <c r="H10" i="7" s="1"/>
  <c r="E8" i="7"/>
  <c r="F7" i="7"/>
  <c r="G6" i="7" s="1"/>
  <c r="E11" i="7"/>
  <c r="F10" i="7"/>
  <c r="F8" i="7"/>
  <c r="G9" i="7" s="1"/>
  <c r="H9" i="7" s="1"/>
  <c r="C37" i="8"/>
  <c r="D34" i="7"/>
  <c r="C32" i="7" s="1"/>
  <c r="G7" i="7"/>
  <c r="H7" i="7" s="1"/>
  <c r="G11" i="7"/>
  <c r="H11" i="7" s="1"/>
  <c r="E10" i="7"/>
  <c r="C35" i="7"/>
  <c r="C21" i="2"/>
  <c r="B19" i="2" s="1"/>
  <c r="G8" i="7" l="1"/>
  <c r="H8" i="7" s="1"/>
  <c r="J41" i="8"/>
  <c r="I41" i="8"/>
  <c r="F37" i="8" s="1"/>
  <c r="J16" i="8"/>
  <c r="K16" i="8"/>
  <c r="J17" i="8"/>
  <c r="J15" i="8"/>
  <c r="K15" i="8"/>
  <c r="K17" i="8"/>
  <c r="J8" i="8"/>
  <c r="J9" i="8"/>
  <c r="J10" i="8"/>
  <c r="J11" i="8"/>
  <c r="J12" i="8"/>
  <c r="K8" i="8"/>
  <c r="K9" i="8"/>
  <c r="K10" i="8"/>
  <c r="K11" i="8"/>
  <c r="K12" i="8"/>
  <c r="H6" i="7"/>
  <c r="J22" i="8"/>
  <c r="J7" i="8"/>
  <c r="K18" i="8"/>
  <c r="J18" i="8"/>
  <c r="K22" i="8"/>
  <c r="J6" i="8"/>
  <c r="J14" i="8"/>
  <c r="K20" i="8"/>
  <c r="J13" i="8"/>
  <c r="K7" i="8"/>
  <c r="J21" i="8"/>
  <c r="K14" i="8"/>
  <c r="K5" i="8"/>
  <c r="J5" i="8"/>
  <c r="K19" i="8"/>
  <c r="K21" i="8"/>
  <c r="K6" i="8"/>
  <c r="J20" i="8"/>
  <c r="K13" i="8"/>
  <c r="J19" i="8"/>
  <c r="I19" i="8" s="1"/>
  <c r="D35" i="7"/>
  <c r="C34" i="7"/>
  <c r="C31" i="7" s="1"/>
  <c r="F5" i="2"/>
  <c r="F8" i="2"/>
  <c r="F9" i="2"/>
  <c r="F10" i="2"/>
  <c r="F14" i="2"/>
  <c r="F6" i="2"/>
  <c r="F7" i="2"/>
  <c r="F11" i="2"/>
  <c r="F12" i="2"/>
  <c r="F13" i="2"/>
  <c r="E5" i="2"/>
  <c r="E10" i="2"/>
  <c r="E6" i="2"/>
  <c r="E8" i="2"/>
  <c r="E7" i="2"/>
  <c r="E9" i="2"/>
  <c r="E11" i="2"/>
  <c r="E12" i="2"/>
  <c r="E13" i="2"/>
  <c r="E14" i="2"/>
  <c r="H15" i="7" l="1"/>
  <c r="B26" i="7" s="1"/>
  <c r="C30" i="7"/>
  <c r="G13" i="2"/>
  <c r="H13" i="2" s="1"/>
  <c r="I18" i="8"/>
  <c r="I7" i="8"/>
  <c r="I15" i="8"/>
  <c r="I17" i="8"/>
  <c r="I16" i="8"/>
  <c r="I12" i="8"/>
  <c r="I11" i="8"/>
  <c r="I10" i="8"/>
  <c r="I9" i="8"/>
  <c r="I20" i="8"/>
  <c r="I8" i="8"/>
  <c r="J13" i="7"/>
  <c r="K5" i="7"/>
  <c r="K13" i="7"/>
  <c r="J12" i="7"/>
  <c r="I12" i="7" s="1"/>
  <c r="J5" i="7"/>
  <c r="I5" i="7" s="1"/>
  <c r="K10" i="7"/>
  <c r="K6" i="7"/>
  <c r="K9" i="7"/>
  <c r="I9" i="7" s="1"/>
  <c r="J14" i="7"/>
  <c r="I14" i="7" s="1"/>
  <c r="J11" i="7"/>
  <c r="I11" i="7" s="1"/>
  <c r="K8" i="7"/>
  <c r="K12" i="7"/>
  <c r="K14" i="7"/>
  <c r="J8" i="7"/>
  <c r="K11" i="7"/>
  <c r="J7" i="7"/>
  <c r="K7" i="7"/>
  <c r="J10" i="7"/>
  <c r="J6" i="7"/>
  <c r="J9" i="7"/>
  <c r="K23" i="8"/>
  <c r="K25" i="8"/>
  <c r="K24" i="8"/>
  <c r="I14" i="8"/>
  <c r="I13" i="8"/>
  <c r="I5" i="8"/>
  <c r="J24" i="8"/>
  <c r="J23" i="8"/>
  <c r="J25" i="8"/>
  <c r="I21" i="8"/>
  <c r="G6" i="2"/>
  <c r="H6" i="2" s="1"/>
  <c r="I22" i="8"/>
  <c r="I6" i="8"/>
  <c r="C29" i="7"/>
  <c r="G8" i="2"/>
  <c r="H8" i="2" s="1"/>
  <c r="G7" i="2"/>
  <c r="H7" i="2" s="1"/>
  <c r="G10" i="2"/>
  <c r="H10" i="2" s="1"/>
  <c r="G11" i="2"/>
  <c r="H11" i="2" s="1"/>
  <c r="G12" i="2"/>
  <c r="H12" i="2" s="1"/>
  <c r="G9" i="2"/>
  <c r="H9" i="2" s="1"/>
  <c r="D35" i="2"/>
  <c r="C35" i="2"/>
  <c r="D34" i="2"/>
  <c r="C32" i="2" s="1"/>
  <c r="C34" i="2"/>
  <c r="C31" i="2" s="1"/>
  <c r="K17" i="7" l="1"/>
  <c r="I6" i="7"/>
  <c r="J15" i="7"/>
  <c r="I7" i="7"/>
  <c r="J17" i="7"/>
  <c r="I10" i="7"/>
  <c r="I8" i="7"/>
  <c r="J16" i="7"/>
  <c r="K15" i="7"/>
  <c r="K16" i="7"/>
  <c r="B53" i="8"/>
  <c r="B54" i="8"/>
  <c r="I23" i="8"/>
  <c r="I13" i="7"/>
  <c r="B44" i="7"/>
  <c r="B43" i="7"/>
  <c r="I15" i="7"/>
  <c r="B37" i="7" s="1"/>
  <c r="C41" i="7" s="1"/>
  <c r="C29" i="2"/>
  <c r="H15" i="2"/>
  <c r="B26" i="2" s="1"/>
  <c r="C30" i="2"/>
  <c r="J5" i="2" s="1"/>
  <c r="C47" i="8" l="1"/>
  <c r="C51" i="8" s="1"/>
  <c r="B46" i="8"/>
  <c r="D54" i="8"/>
  <c r="C54" i="8"/>
  <c r="C53" i="8"/>
  <c r="D53" i="8"/>
  <c r="C43" i="7"/>
  <c r="D43" i="7"/>
  <c r="D44" i="7"/>
  <c r="C44" i="7"/>
  <c r="J6" i="2"/>
  <c r="J8" i="2"/>
  <c r="J7" i="2"/>
  <c r="J9" i="2"/>
  <c r="J11" i="2"/>
  <c r="J12" i="2"/>
  <c r="J14" i="2"/>
  <c r="J10" i="2"/>
  <c r="J13" i="2"/>
  <c r="K5" i="2"/>
  <c r="K6" i="2"/>
  <c r="K7" i="2"/>
  <c r="K8" i="2"/>
  <c r="K9" i="2"/>
  <c r="K10" i="2"/>
  <c r="K11" i="2"/>
  <c r="K12" i="2"/>
  <c r="K13" i="2"/>
  <c r="K14" i="2"/>
  <c r="C50" i="8" l="1"/>
  <c r="C40" i="7"/>
  <c r="I10" i="2"/>
  <c r="I14" i="2"/>
  <c r="I13" i="2"/>
  <c r="I8" i="2"/>
  <c r="I9" i="2"/>
  <c r="I6" i="2"/>
  <c r="I12" i="2"/>
  <c r="I11" i="2"/>
  <c r="I7" i="2"/>
  <c r="I5" i="2"/>
  <c r="K16" i="2"/>
  <c r="J16" i="2"/>
  <c r="J17" i="2"/>
  <c r="K15" i="2"/>
  <c r="J15" i="2"/>
  <c r="K17" i="2"/>
  <c r="B46" i="2" l="1"/>
  <c r="B45" i="2"/>
  <c r="I15" i="2"/>
  <c r="C39" i="2" l="1"/>
  <c r="C43" i="2" s="1"/>
  <c r="B38" i="2"/>
  <c r="D45" i="2"/>
  <c r="D46" i="2"/>
  <c r="C46" i="2"/>
  <c r="C4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<sst xmlns="http://schemas.openxmlformats.org/spreadsheetml/2006/main" count="314" uniqueCount="112">
  <si>
    <t>Ｘ</t>
    <phoneticPr fontId="2"/>
  </si>
  <si>
    <t>Ｙ</t>
    <phoneticPr fontId="2"/>
  </si>
  <si>
    <t>傾き</t>
    <rPh sb="0" eb="1">
      <t>カタム</t>
    </rPh>
    <phoneticPr fontId="2"/>
  </si>
  <si>
    <t>奥行距離</t>
    <rPh sb="0" eb="2">
      <t>オクユキ</t>
    </rPh>
    <rPh sb="2" eb="4">
      <t>キョリ</t>
    </rPh>
    <phoneticPr fontId="2"/>
  </si>
  <si>
    <t>間口</t>
    <rPh sb="0" eb="2">
      <t>マグチ</t>
    </rPh>
    <phoneticPr fontId="2"/>
  </si>
  <si>
    <t>間口距離</t>
    <rPh sb="0" eb="2">
      <t>マグチ</t>
    </rPh>
    <rPh sb="2" eb="4">
      <t>キョリ</t>
    </rPh>
    <phoneticPr fontId="2"/>
  </si>
  <si>
    <t>面積</t>
    <rPh sb="0" eb="2">
      <t>メンセキ</t>
    </rPh>
    <phoneticPr fontId="2"/>
  </si>
  <si>
    <t>x</t>
    <phoneticPr fontId="2"/>
  </si>
  <si>
    <t>y</t>
    <phoneticPr fontId="2"/>
  </si>
  <si>
    <t>点</t>
    <rPh sb="0" eb="1">
      <t>テン</t>
    </rPh>
    <phoneticPr fontId="2"/>
  </si>
  <si>
    <t>Yn+1-Yn-1</t>
    <phoneticPr fontId="2"/>
  </si>
  <si>
    <t>Xn*(Yn+1-Yn-1)</t>
    <phoneticPr fontId="2"/>
  </si>
  <si>
    <t>間口Ａ</t>
    <rPh sb="0" eb="2">
      <t>マグチ</t>
    </rPh>
    <phoneticPr fontId="2"/>
  </si>
  <si>
    <t>間口Ｂ</t>
    <rPh sb="0" eb="2">
      <t>マグチ</t>
    </rPh>
    <phoneticPr fontId="2"/>
  </si>
  <si>
    <t>縮尺</t>
    <rPh sb="0" eb="2">
      <t>シュクシャク</t>
    </rPh>
    <phoneticPr fontId="2"/>
  </si>
  <si>
    <t>点Ｌ</t>
    <rPh sb="0" eb="1">
      <t>テン</t>
    </rPh>
    <phoneticPr fontId="2"/>
  </si>
  <si>
    <t>点Ｍ</t>
    <rPh sb="0" eb="1">
      <t>テン</t>
    </rPh>
    <phoneticPr fontId="2"/>
  </si>
  <si>
    <t>実際の距離</t>
    <rPh sb="0" eb="2">
      <t>ジッサイ</t>
    </rPh>
    <rPh sb="3" eb="5">
      <t>キョリ</t>
    </rPh>
    <phoneticPr fontId="2"/>
  </si>
  <si>
    <t>図上の距離</t>
    <rPh sb="0" eb="1">
      <t>ズ</t>
    </rPh>
    <rPh sb="1" eb="2">
      <t>ジョウ</t>
    </rPh>
    <rPh sb="3" eb="5">
      <t>キョリ</t>
    </rPh>
    <phoneticPr fontId="2"/>
  </si>
  <si>
    <t>間口α</t>
    <rPh sb="0" eb="2">
      <t>マグチ</t>
    </rPh>
    <phoneticPr fontId="2"/>
  </si>
  <si>
    <t>間口β</t>
    <rPh sb="0" eb="2">
      <t>マグチ</t>
    </rPh>
    <phoneticPr fontId="2"/>
  </si>
  <si>
    <t>想定整形地</t>
    <rPh sb="0" eb="2">
      <t>ソウテイ</t>
    </rPh>
    <rPh sb="2" eb="4">
      <t>セイケイ</t>
    </rPh>
    <rPh sb="4" eb="5">
      <t>チ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</si>
  <si>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</si>
  <si>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</si>
  <si>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</si>
  <si>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</si>
  <si>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</si>
  <si>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</si>
  <si>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</si>
  <si>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</si>
  <si>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集計</t>
  </si>
  <si>
    <t>ダミー</t>
    <phoneticPr fontId="2"/>
  </si>
  <si>
    <t>P2</t>
    <phoneticPr fontId="2"/>
  </si>
  <si>
    <t>最初</t>
    <rPh sb="0" eb="2">
      <t>サイショ</t>
    </rPh>
    <phoneticPr fontId="2"/>
  </si>
  <si>
    <t>最後</t>
    <rPh sb="0" eb="2">
      <t>サイゴ</t>
    </rPh>
    <phoneticPr fontId="2"/>
  </si>
  <si>
    <t>最初ダミー</t>
    <rPh sb="0" eb="2">
      <t>サイショ</t>
    </rPh>
    <phoneticPr fontId="2"/>
  </si>
  <si>
    <t>最後ダミー</t>
    <rPh sb="0" eb="2">
      <t>サイゴ</t>
    </rPh>
    <phoneticPr fontId="2"/>
  </si>
  <si>
    <t>xn</t>
    <phoneticPr fontId="2"/>
  </si>
  <si>
    <t>yn</t>
    <phoneticPr fontId="2"/>
  </si>
  <si>
    <t>Xn2</t>
    <phoneticPr fontId="2"/>
  </si>
  <si>
    <t>Yn2</t>
    <phoneticPr fontId="2"/>
  </si>
  <si>
    <t>P8</t>
    <phoneticPr fontId="2"/>
  </si>
  <si>
    <t>AX</t>
    <phoneticPr fontId="2"/>
  </si>
  <si>
    <t>AY</t>
    <phoneticPr fontId="2"/>
  </si>
  <si>
    <t>直交点Ｘ</t>
    <rPh sb="0" eb="2">
      <t>チョッコウ</t>
    </rPh>
    <rPh sb="2" eb="3">
      <t>テン</t>
    </rPh>
    <phoneticPr fontId="2"/>
  </si>
  <si>
    <t>直交点Ｙ</t>
    <rPh sb="0" eb="2">
      <t>チョッコウ</t>
    </rPh>
    <phoneticPr fontId="2"/>
  </si>
  <si>
    <t>P7</t>
    <phoneticPr fontId="2"/>
  </si>
  <si>
    <t>直交点の最小</t>
    <rPh sb="0" eb="2">
      <t>チョッコウ</t>
    </rPh>
    <rPh sb="2" eb="3">
      <t>テン</t>
    </rPh>
    <rPh sb="4" eb="6">
      <t>サイショウ</t>
    </rPh>
    <phoneticPr fontId="2"/>
  </si>
  <si>
    <t>直行点Ｘが最小の点または直交点Ｙが最小の点</t>
    <rPh sb="0" eb="2">
      <t>チョッコウ</t>
    </rPh>
    <rPh sb="2" eb="3">
      <t>テン</t>
    </rPh>
    <rPh sb="5" eb="7">
      <t>サイショウ</t>
    </rPh>
    <rPh sb="8" eb="9">
      <t>テン</t>
    </rPh>
    <rPh sb="12" eb="14">
      <t>チョッコウ</t>
    </rPh>
    <rPh sb="14" eb="15">
      <t>テン</t>
    </rPh>
    <rPh sb="17" eb="19">
      <t>サイショウ</t>
    </rPh>
    <rPh sb="20" eb="21">
      <t>テン</t>
    </rPh>
    <phoneticPr fontId="2"/>
  </si>
  <si>
    <t>直行点Ｘが最大の点または直交点Ｙが最大の点</t>
    <rPh sb="0" eb="2">
      <t>チョッコウ</t>
    </rPh>
    <rPh sb="2" eb="3">
      <t>テン</t>
    </rPh>
    <rPh sb="5" eb="7">
      <t>サイダイ</t>
    </rPh>
    <rPh sb="8" eb="9">
      <t>テン</t>
    </rPh>
    <rPh sb="18" eb="19">
      <t>ダイ</t>
    </rPh>
    <phoneticPr fontId="2"/>
  </si>
  <si>
    <t>道路に面している点の両端の一方の点</t>
    <rPh sb="0" eb="2">
      <t>ドウロ</t>
    </rPh>
    <rPh sb="3" eb="4">
      <t>メン</t>
    </rPh>
    <rPh sb="8" eb="9">
      <t>テン</t>
    </rPh>
    <rPh sb="10" eb="12">
      <t>リョウタン</t>
    </rPh>
    <rPh sb="13" eb="15">
      <t>イッポウ</t>
    </rPh>
    <rPh sb="16" eb="17">
      <t>テン</t>
    </rPh>
    <phoneticPr fontId="2"/>
  </si>
  <si>
    <t>道路に面している点の両端のもう一方の点</t>
    <rPh sb="0" eb="2">
      <t>ドウロ</t>
    </rPh>
    <rPh sb="3" eb="4">
      <t>メン</t>
    </rPh>
    <rPh sb="8" eb="9">
      <t>テン</t>
    </rPh>
    <rPh sb="10" eb="12">
      <t>リョウタン</t>
    </rPh>
    <rPh sb="15" eb="17">
      <t>イッポウ</t>
    </rPh>
    <rPh sb="18" eb="19">
      <t>テン</t>
    </rPh>
    <phoneticPr fontId="2"/>
  </si>
  <si>
    <t>距離が分かっている2点</t>
    <rPh sb="0" eb="2">
      <t>キョリ</t>
    </rPh>
    <rPh sb="3" eb="4">
      <t>ワ</t>
    </rPh>
    <rPh sb="10" eb="11">
      <t>テン</t>
    </rPh>
    <phoneticPr fontId="2"/>
  </si>
  <si>
    <t>点の座標が測量などによる正確なものならば、「0」を入力</t>
    <rPh sb="0" eb="1">
      <t>テン</t>
    </rPh>
    <rPh sb="2" eb="4">
      <t>ザヒョウ</t>
    </rPh>
    <rPh sb="5" eb="7">
      <t>ソクリョウ</t>
    </rPh>
    <rPh sb="12" eb="14">
      <t>セイカク</t>
    </rPh>
    <rPh sb="25" eb="27">
      <t>ニュウリョク</t>
    </rPh>
    <phoneticPr fontId="2"/>
  </si>
  <si>
    <t>点の座標が測量などによる正確なものならば、1になる</t>
    <rPh sb="0" eb="1">
      <t>テン</t>
    </rPh>
    <rPh sb="2" eb="4">
      <t>ザヒョウ</t>
    </rPh>
    <rPh sb="5" eb="7">
      <t>ソクリョウ</t>
    </rPh>
    <rPh sb="12" eb="14">
      <t>セイカク</t>
    </rPh>
    <phoneticPr fontId="2"/>
  </si>
  <si>
    <t>各点の座標を入力　（面積の計算が不要ならば、外側に位置すると思われる主な点だけの入力でＯＫ）</t>
    <rPh sb="0" eb="2">
      <t>カクテン</t>
    </rPh>
    <rPh sb="3" eb="5">
      <t>ザヒョウ</t>
    </rPh>
    <rPh sb="6" eb="8">
      <t>ニュウリョク</t>
    </rPh>
    <rPh sb="10" eb="12">
      <t>メンセキ</t>
    </rPh>
    <rPh sb="13" eb="15">
      <t>ケイサン</t>
    </rPh>
    <rPh sb="16" eb="18">
      <t>フヨウ</t>
    </rPh>
    <rPh sb="22" eb="24">
      <t>ソトガワ</t>
    </rPh>
    <rPh sb="25" eb="27">
      <t>イチ</t>
    </rPh>
    <rPh sb="30" eb="31">
      <t>オモ</t>
    </rPh>
    <rPh sb="34" eb="35">
      <t>オモ</t>
    </rPh>
    <rPh sb="36" eb="37">
      <t>テン</t>
    </rPh>
    <rPh sb="40" eb="42">
      <t>ニュウリョク</t>
    </rPh>
    <phoneticPr fontId="2"/>
  </si>
  <si>
    <t>参考</t>
    <rPh sb="0" eb="2">
      <t>サンコウ</t>
    </rPh>
    <phoneticPr fontId="2"/>
  </si>
  <si>
    <t>（面積の計算が不要ならば、外側に位置すると思われる主な点だけの入力でＯＫ）</t>
  </si>
  <si>
    <t>土地Ａ</t>
    <rPh sb="0" eb="2">
      <t>トチ</t>
    </rPh>
    <phoneticPr fontId="2"/>
  </si>
  <si>
    <t>P6</t>
    <phoneticPr fontId="2"/>
  </si>
  <si>
    <t>P4</t>
    <phoneticPr fontId="2"/>
  </si>
  <si>
    <t>P3</t>
    <phoneticPr fontId="2"/>
  </si>
  <si>
    <t>直交点の最大</t>
    <rPh sb="0" eb="2">
      <t>チョッコウ</t>
    </rPh>
    <rPh sb="2" eb="3">
      <t>テン</t>
    </rPh>
    <rPh sb="4" eb="6">
      <t>サイダイ</t>
    </rPh>
    <phoneticPr fontId="2"/>
  </si>
  <si>
    <t>奥行</t>
    <rPh sb="0" eb="2">
      <t>オクユキ</t>
    </rPh>
    <phoneticPr fontId="2"/>
  </si>
  <si>
    <t>隅切りの場合</t>
    <rPh sb="0" eb="2">
      <t>スミキ</t>
    </rPh>
    <rPh sb="4" eb="6">
      <t>バアイ</t>
    </rPh>
    <phoneticPr fontId="2"/>
  </si>
  <si>
    <t>側方α</t>
    <rPh sb="0" eb="2">
      <t>ソクホウ</t>
    </rPh>
    <phoneticPr fontId="2"/>
  </si>
  <si>
    <t>側方β</t>
    <rPh sb="0" eb="2">
      <t>ソクホウ</t>
    </rPh>
    <phoneticPr fontId="2"/>
  </si>
  <si>
    <t>隅切り前の交点</t>
    <rPh sb="0" eb="2">
      <t>スミキ</t>
    </rPh>
    <rPh sb="3" eb="4">
      <t>マエ</t>
    </rPh>
    <rPh sb="5" eb="7">
      <t>コウテン</t>
    </rPh>
    <phoneticPr fontId="2"/>
  </si>
  <si>
    <t xml:space="preserve">P000000109 </t>
  </si>
  <si>
    <t xml:space="preserve">P000000110 </t>
  </si>
  <si>
    <t xml:space="preserve">P000000111 </t>
  </si>
  <si>
    <t xml:space="preserve">P000000112 </t>
  </si>
  <si>
    <t xml:space="preserve">P000000113 </t>
  </si>
  <si>
    <t xml:space="preserve">P000000115 </t>
  </si>
  <si>
    <t xml:space="preserve">P000000141 </t>
  </si>
  <si>
    <t xml:space="preserve">P000000153 </t>
  </si>
  <si>
    <t xml:space="preserve">P000000154 </t>
  </si>
  <si>
    <t xml:space="preserve">P000000139 </t>
  </si>
  <si>
    <t xml:space="preserve">P000000102 </t>
  </si>
  <si>
    <t xml:space="preserve">P000000104 </t>
  </si>
  <si>
    <t xml:space="preserve">P000000105 </t>
  </si>
  <si>
    <t xml:space="preserve">P000000106 </t>
  </si>
  <si>
    <t xml:space="preserve">P000000107 </t>
  </si>
  <si>
    <t xml:space="preserve">P000000108 </t>
  </si>
  <si>
    <t>裏面間口</t>
    <rPh sb="0" eb="2">
      <t>リメン</t>
    </rPh>
    <rPh sb="2" eb="4">
      <t>マグチ</t>
    </rPh>
    <phoneticPr fontId="2"/>
  </si>
  <si>
    <t>Ａ</t>
    <phoneticPr fontId="2"/>
  </si>
  <si>
    <t>Ｂ</t>
    <phoneticPr fontId="2"/>
  </si>
  <si>
    <t>Ｙ切片</t>
    <rPh sb="1" eb="3">
      <t>セッペン</t>
    </rPh>
    <phoneticPr fontId="2"/>
  </si>
  <si>
    <t>直線ｌ</t>
    <rPh sb="0" eb="2">
      <t>チョクセン</t>
    </rPh>
    <phoneticPr fontId="2"/>
  </si>
  <si>
    <t>直線ｍ</t>
    <rPh sb="0" eb="2">
      <t>チョクセン</t>
    </rPh>
    <phoneticPr fontId="2"/>
  </si>
  <si>
    <t>Ｐ</t>
    <phoneticPr fontId="2"/>
  </si>
  <si>
    <t>Ｑ</t>
    <phoneticPr fontId="2"/>
  </si>
  <si>
    <t>Ｃ</t>
    <phoneticPr fontId="2"/>
  </si>
  <si>
    <t>Ｄ</t>
    <phoneticPr fontId="2"/>
  </si>
  <si>
    <t>直線ｌと直線ｍの交点Ｏ</t>
    <rPh sb="0" eb="2">
      <t>チョクセン</t>
    </rPh>
    <rPh sb="4" eb="6">
      <t>チョクセン</t>
    </rPh>
    <rPh sb="8" eb="10">
      <t>コウテン</t>
    </rPh>
    <phoneticPr fontId="2"/>
  </si>
  <si>
    <t>Ｏ</t>
    <phoneticPr fontId="2"/>
  </si>
  <si>
    <t>点Ａ、点Ｂを通る直線ｌ</t>
    <rPh sb="0" eb="1">
      <t>テン</t>
    </rPh>
    <rPh sb="3" eb="4">
      <t>テン</t>
    </rPh>
    <rPh sb="6" eb="7">
      <t>トオ</t>
    </rPh>
    <rPh sb="8" eb="10">
      <t>チョクセン</t>
    </rPh>
    <phoneticPr fontId="2"/>
  </si>
  <si>
    <t>点Ｃ、点Ｄを通る直線ｍ</t>
    <rPh sb="7" eb="9">
      <t>チョクセン</t>
    </rPh>
    <phoneticPr fontId="2"/>
  </si>
  <si>
    <t>Ｓ</t>
    <phoneticPr fontId="2"/>
  </si>
  <si>
    <t>Ｕ</t>
    <phoneticPr fontId="2"/>
  </si>
  <si>
    <t>Ｔ</t>
    <phoneticPr fontId="2"/>
  </si>
  <si>
    <t>直線ｌ上のＴ点からｄだけ離れた点Ｕ、Ｕ’</t>
    <rPh sb="0" eb="2">
      <t>チョクセン</t>
    </rPh>
    <rPh sb="3" eb="4">
      <t>ジョウ</t>
    </rPh>
    <rPh sb="6" eb="7">
      <t>テン</t>
    </rPh>
    <rPh sb="12" eb="13">
      <t>ハナ</t>
    </rPh>
    <rPh sb="15" eb="16">
      <t>テン</t>
    </rPh>
    <phoneticPr fontId="2"/>
  </si>
  <si>
    <t>Ｕ’</t>
    <phoneticPr fontId="2"/>
  </si>
  <si>
    <t>d</t>
    <phoneticPr fontId="2"/>
  </si>
  <si>
    <t>分母</t>
    <rPh sb="0" eb="2">
      <t>ブンボ</t>
    </rPh>
    <phoneticPr fontId="2"/>
  </si>
  <si>
    <t>点Ｐと点Ｑとの距離</t>
    <rPh sb="0" eb="1">
      <t>テン</t>
    </rPh>
    <rPh sb="3" eb="4">
      <t>テン</t>
    </rPh>
    <rPh sb="7" eb="9">
      <t>キョリ</t>
    </rPh>
    <phoneticPr fontId="2"/>
  </si>
  <si>
    <t>距離</t>
    <rPh sb="0" eb="2">
      <t>キョリ</t>
    </rPh>
    <phoneticPr fontId="2"/>
  </si>
  <si>
    <t>直線n</t>
    <rPh sb="0" eb="2">
      <t>チョクセン</t>
    </rPh>
    <phoneticPr fontId="2"/>
  </si>
  <si>
    <t>&lt;ーＡ点、Ｂ点の座標を入力せずに、</t>
    <rPh sb="3" eb="4">
      <t>テン</t>
    </rPh>
    <rPh sb="6" eb="7">
      <t>テン</t>
    </rPh>
    <rPh sb="8" eb="10">
      <t>ザヒョウ</t>
    </rPh>
    <rPh sb="11" eb="13">
      <t>ニュウリョク</t>
    </rPh>
    <phoneticPr fontId="2"/>
  </si>
  <si>
    <t>　　傾き、Ｙ切片を直接入力しても良い</t>
    <rPh sb="2" eb="3">
      <t>カタム</t>
    </rPh>
    <rPh sb="6" eb="8">
      <t>セッペン</t>
    </rPh>
    <rPh sb="9" eb="11">
      <t>チョクセツ</t>
    </rPh>
    <rPh sb="11" eb="13">
      <t>ニュウリョク</t>
    </rPh>
    <rPh sb="16" eb="17">
      <t>ヨ</t>
    </rPh>
    <phoneticPr fontId="2"/>
  </si>
  <si>
    <t>&lt;ーＣ点、Ｄ点の座標を入力せずに、</t>
    <rPh sb="3" eb="4">
      <t>テン</t>
    </rPh>
    <rPh sb="6" eb="7">
      <t>テン</t>
    </rPh>
    <rPh sb="8" eb="10">
      <t>ザヒョウ</t>
    </rPh>
    <rPh sb="11" eb="13">
      <t>ニュウリョク</t>
    </rPh>
    <phoneticPr fontId="2"/>
  </si>
  <si>
    <t>Ｓ点を通る直線ｌに垂直な直線ｎ</t>
    <rPh sb="1" eb="2">
      <t>テン</t>
    </rPh>
    <rPh sb="3" eb="4">
      <t>トオ</t>
    </rPh>
    <rPh sb="5" eb="7">
      <t>チョクセン</t>
    </rPh>
    <rPh sb="9" eb="11">
      <t>スイチョク</t>
    </rPh>
    <rPh sb="12" eb="14">
      <t>チョクセン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</si>
</sst>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0.0000"/>
    <numFmt numFmtId="178" formatCode="#,##0.0000;[Red]\-#,##0.000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1" applyNumberFormat="1" applyFont="1" applyAlignment="1">
      <alignment horizontal="right" vertical="center"/>
    </xf>
    <xf numFmtId="178" fontId="0" fillId="0" borderId="0" xfId="1" applyNumberFormat="1" applyFont="1">
      <alignment vertical="center"/>
    </xf>
    <xf numFmtId="177" fontId="0" fillId="2" borderId="0" xfId="0" applyNumberFormat="1" applyFill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7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7" fontId="4" fillId="5" borderId="0" xfId="0" applyNumberFormat="1" applyFont="1" applyFill="1">
      <alignment vertical="center"/>
    </xf>
  </cellXfs>
  <cellStyles count="2">
    <cellStyle name="桁区切り" xfId="1" builtinId="6"/>
    <cellStyle name="標準" xfId="0" builtinId="0"/>
  </cellStyles>
  <dxfs count="40"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alignment horizontal="center" vertical="center" textRotation="0" wrapText="0" indent="0" justifyLastLine="0" shrinkToFit="0" readingOrder="0"/>
    </dxf>
    <dxf>
      <numFmt numFmtId="177" formatCode="0.0000"/>
    </dxf>
    <dxf>
      <numFmt numFmtId="178" formatCode="#,##0.0000;[Red]\-#,##0.0000"/>
    </dxf>
    <dxf>
      <numFmt numFmtId="177" formatCode="0.0000"/>
    </dxf>
    <dxf>
      <numFmt numFmtId="178" formatCode="#,##0.0000;[Red]\-#,##0.0000"/>
    </dxf>
    <dxf>
      <numFmt numFmtId="177" formatCode="0.0000"/>
    </dxf>
    <dxf>
      <numFmt numFmtId="178" formatCode="#,##0.0000;[Red]\-#,##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alignment horizontal="center" vertical="center" textRotation="0" wrapText="0" indent="0" justifyLastLine="0" shrinkToFit="0" readingOrder="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numFmt numFmtId="177" formatCode="0.00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5359E-7FA2-4FD7-868E-C3E90AF66E96}" name="点群" displayName="点群" ref="A4:K15" totalsRowCount="1" headerRowDxfId="39">
  <autoFilter ref="A4:K14" xr:uid="{8335359E-7FA2-4FD7-868E-C3E90AF66E96}"/>
  <tableColumns count="11">
    <tableColumn id="1" xr3:uid="{92159015-0C87-4F84-A705-F5E7D1AFFF53}" name="点" totalsRowLabel="集計"/>
    <tableColumn id="9" xr3:uid="{75359661-09E5-40CE-B0BE-A2881CFB2911}" name="参考"/>
    <tableColumn id="2" xr3:uid="{89E83463-5982-4EAF-94B1-8950479904C3}" name="xn" dataDxfId="38"/>
    <tableColumn id="3" xr3:uid="{5E9FF522-2DDD-4724-8106-B3F363103929}" name="yn" dataDxfId="37"/>
    <tableColumn id="10" xr3:uid="{E7E12EAA-9227-45C3-8E29-6634F318C9E1}" name="Xn2" dataDxfId="36">
      <calculatedColumnFormula>点群[[#This Row],[xn]]*縮尺</calculatedColumnFormula>
    </tableColumn>
    <tableColumn id="11" xr3:uid="{22551E52-20CC-4EB5-9304-8593B2B855A8}" name="Yn2" dataDxfId="35">
      <calculatedColumnFormula>点群[[#This Row],[yn]]*縮尺</calculatedColumnFormula>
    </tableColumn>
    <tableColumn id="4" xr3:uid="{4ADC5F00-47DC-4861-94DA-11CA3EC8BBDD}" name="Yn+1-Yn-1" dataDxfId="34">
      <calculatedColumnFormula>IF(点群[[#This Row],[点]]="ダミー",0,OFFSET(F5,-1,0)-OFFSET(F5,1,0))</calculatedColumnFormula>
    </tableColumn>
    <tableColumn id="5" xr3:uid="{1BA30C73-4F9E-4AC0-9687-B4060C3A73EB}" name="Xn*(Yn+1-Yn-1)" totalsRowFunction="sum" dataDxfId="33" totalsRowDxfId="32">
      <calculatedColumnFormula>IF(点群[[#This Row],[点]]="ダミー",0,点群[[#This Row],[Xn2]]*点群[[#This Row],[Yn+1-Yn-1]])</calculatedColumnFormula>
    </tableColumn>
    <tableColumn id="6" xr3:uid="{464E25FF-3E33-4670-8AAB-19F54987509E}" name="奥行距離" totalsRowFunction="max" dataDxfId="31" totalsRowDxfId="30">
      <calculatedColumnFormula>SQRT((点群[[#This Row],[Xn2]]-点群[[#This Row],[直交点Ｘ]])^2+(点群[[#This Row],[Yn2]]-点群[[#This Row],[直交点Ｙ]])^2)</calculatedColumnFormula>
    </tableColumn>
    <tableColumn id="12" xr3:uid="{F74BCFCA-0854-46DE-B235-A693E794BBF2}" name="直交点Ｘ" totalsRowFunction="max" dataDxfId="29" totalsRowDxfId="28">
      <calculatedColumnFormula>1/(傾き^2+1)*(点群[[#This Row],[Xn2]]+傾き^2*AX+傾き*(点群[[#This Row],[Yn2]]-AY))</calculatedColumnFormula>
    </tableColumn>
    <tableColumn id="13" xr3:uid="{04612C99-EBFA-4792-B045-C0E1E9951CDB}" name="直交点Ｙ" totalsRowFunction="max" dataDxfId="27" totalsRowDxfId="26">
      <calculatedColumnFormula>1/(傾き^2+1)*(AY+傾き^2*点群[[#This Row],[Yn2]]+傾き*(点群[[#This Row],[Xn2]]-AX))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1914CD-D37A-4122-8A12-7408F299712E}" name="点群_9" displayName="点群_9" ref="A4:K15" totalsRowCount="1" headerRowDxfId="25">
  <autoFilter ref="A4:K14" xr:uid="{8335359E-7FA2-4FD7-868E-C3E90AF66E96}"/>
  <tableColumns count="11">
    <tableColumn id="1" xr3:uid="{3B237FE9-7CA1-46B2-AEC5-F75CBAFFB1AF}" name="点" totalsRowLabel="集計"/>
    <tableColumn id="9" xr3:uid="{C5928AD2-2559-49ED-85F0-0E62215D4CA8}" name="参考"/>
    <tableColumn id="2" xr3:uid="{3D4731E7-B019-43B8-925B-97F943F3A45B}" name="xn"/>
    <tableColumn id="3" xr3:uid="{C41A0596-E853-4B10-87B7-CE3FCB5586AB}" name="yn"/>
    <tableColumn id="10" xr3:uid="{C646458B-CE23-4E6E-BD1F-B842B92E263F}" name="Xn2" dataDxfId="24">
      <calculatedColumnFormula>点群_9[[#This Row],[xn]]*縮尺</calculatedColumnFormula>
    </tableColumn>
    <tableColumn id="11" xr3:uid="{4D3CAF0D-80E6-47D8-A2D9-FE79A1A2659A}" name="Yn2" dataDxfId="23">
      <calculatedColumnFormula>点群_9[[#This Row],[yn]]*縮尺</calculatedColumnFormula>
    </tableColumn>
    <tableColumn id="4" xr3:uid="{CF7006A4-6C5F-4D57-97D8-821AD4DCB6BF}" name="Yn+1-Yn-1" dataDxfId="22">
      <calculatedColumnFormula>IF(点群[[#This Row],[点]]="ダミー",0,OFFSET(F5,-1,0)-OFFSET(F5,1,0))</calculatedColumnFormula>
    </tableColumn>
    <tableColumn id="5" xr3:uid="{CEA6EB86-E39B-4B18-A84C-86865FCD7AE8}" name="Xn*(Yn+1-Yn-1)" totalsRowFunction="sum" dataDxfId="21" totalsRowDxfId="20">
      <calculatedColumnFormula>IF(点群_9[[#This Row],[点]]="ダミー",0,点群_9[[#This Row],[Xn2]]*点群_9[[#This Row],[Yn+1-Yn-1]])</calculatedColumnFormula>
    </tableColumn>
    <tableColumn id="6" xr3:uid="{D6B92A65-F6E6-4626-8332-0353F301CC10}" name="奥行距離" totalsRowFunction="max" dataDxfId="19" totalsRowDxfId="18" dataCellStyle="桁区切り">
      <calculatedColumnFormula>SQRT((点群_9[[#This Row],[Xn2]]-点群_9[[#This Row],[直交点Ｘ]])^2+(点群_9[[#This Row],[Yn2]]-点群_9[[#This Row],[直交点Ｙ]])^2)</calculatedColumnFormula>
    </tableColumn>
    <tableColumn id="12" xr3:uid="{B6CE833C-CA19-4DD2-9B03-3981DFAC11C5}" name="直交点Ｘ" totalsRowFunction="max" dataDxfId="17" totalsRowDxfId="16" dataCellStyle="桁区切り">
      <calculatedColumnFormula>1/(傾き^2+1)*(点群_9[[#This Row],[Xn2]]+傾き^2*AX+傾き*(点群_9[[#This Row],[Yn2]]-AY))</calculatedColumnFormula>
    </tableColumn>
    <tableColumn id="13" xr3:uid="{EA72CDA9-1637-4344-B418-0C3CF5C32118}" name="直交点Ｙ" totalsRowFunction="max" dataDxfId="15" totalsRowDxfId="14" dataCellStyle="桁区切り">
      <calculatedColumnFormula>1/(傾き^2+1)*(AY+傾き^2*点群_9[[#This Row],[Yn2]]+傾き*(点群_9[[#This Row],[Xn2]]-AX))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EB7A9-7CB5-48F9-8631-64D5F166048E}" name="点群_3" displayName="点群_3" ref="A4:K23" totalsRowCount="1" headerRowDxfId="13">
  <autoFilter ref="A4:K22" xr:uid="{8335359E-7FA2-4FD7-868E-C3E90AF66E96}"/>
  <tableColumns count="11">
    <tableColumn id="1" xr3:uid="{7A7F6C65-167D-4034-9CD7-224082B40A6F}" name="点" totalsRowLabel="集計"/>
    <tableColumn id="9" xr3:uid="{9CD61A7C-DAB6-46A4-94F2-A9773D0BEB86}" name="参考"/>
    <tableColumn id="2" xr3:uid="{E79CA53C-A411-41C4-A7C4-163F6E96C822}" name="xn" dataDxfId="12"/>
    <tableColumn id="3" xr3:uid="{1A30C375-3519-4296-B780-3B1505A5F4CB}" name="yn" dataDxfId="11"/>
    <tableColumn id="10" xr3:uid="{FD0E1B58-E72E-4E2E-83E9-46E98C15F077}" name="Xn2" dataDxfId="10">
      <calculatedColumnFormula>点群_3[[#This Row],[xn]]*縮尺</calculatedColumnFormula>
    </tableColumn>
    <tableColumn id="11" xr3:uid="{65C557F4-2CEB-4AFE-A393-150DBA219DD3}" name="Yn2" dataDxfId="9">
      <calculatedColumnFormula>点群_3[[#This Row],[yn]]*縮尺</calculatedColumnFormula>
    </tableColumn>
    <tableColumn id="4" xr3:uid="{4BA2B8B8-873A-4A4C-88B6-C0E5B102F779}" name="Yn+1-Yn-1" dataDxfId="8">
      <calculatedColumnFormula>IF(点群_3[[#This Row],[点]]="ダミー",0,OFFSET(F5,-1,0)-OFFSET(F5,1,0))</calculatedColumnFormula>
    </tableColumn>
    <tableColumn id="5" xr3:uid="{8B656318-DF7D-43D9-83ED-17AF2ABD0483}" name="Xn*(Yn+1-Yn-1)" totalsRowFunction="sum" dataDxfId="7" totalsRowDxfId="6">
      <calculatedColumnFormula>IF(点群_3[[#This Row],[点]]="ダミー",0,点群_3[[#This Row],[Xn2]]*点群_3[[#This Row],[Yn+1-Yn-1]])</calculatedColumnFormula>
    </tableColumn>
    <tableColumn id="6" xr3:uid="{62F27F7A-EEA1-4DB5-BECB-13AA6E813C7B}" name="奥行距離" totalsRowFunction="max" dataDxfId="5" totalsRowDxfId="4">
      <calculatedColumnFormula>SQRT((点群_3[[#This Row],[Xn2]]-点群_3[[#This Row],[直交点Ｘ]])^2+(点群_3[[#This Row],[Yn2]]-点群_3[[#This Row],[直交点Ｙ]])^2)</calculatedColumnFormula>
    </tableColumn>
    <tableColumn id="12" xr3:uid="{5F6C4922-18E0-4A1F-A6D7-43D8DF9B0E48}" name="直交点Ｘ" totalsRowFunction="max" dataDxfId="3" totalsRowDxfId="2">
      <calculatedColumnFormula>1/(傾き^2+1)*(点群_3[[#This Row],[Xn2]]+傾き^2*AX+傾き*(点群_3[[#This Row],[Yn2]]-AY))</calculatedColumnFormula>
    </tableColumn>
    <tableColumn id="13" xr3:uid="{0B1F043A-AD4A-48AD-A89A-64FDAF82D8AF}" name="直交点Ｙ" totalsRowFunction="max" dataDxfId="1" totalsRowDxfId="0">
      <calculatedColumnFormula>1/(傾き^2+1)*(AY+傾き^2*点群_3[[#This Row],[Yn2]]+傾き*(点群_3[[#This Row],[Xn2]]-AX))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C77A-5B82-4ECB-A3B7-6028FE54B3B5}">
  <sheetPr>
    <pageSetUpPr fitToPage="1"/>
  </sheetPr>
  <dimension ref="A1:K55"/>
  <sheetViews>
    <sheetView topLeftCell="A7" workbookViewId="0">
      <selection activeCell="F37" sqref="F37"/>
    </sheetView>
  </sheetViews>
  <sheetFormatPr defaultRowHeight="18.75" x14ac:dyDescent="0.4"/>
  <cols>
    <col min="2" max="2" width="12.375" customWidth="1"/>
    <col min="3" max="11" width="10.125" customWidth="1"/>
  </cols>
  <sheetData>
    <row r="1" spans="1:11" x14ac:dyDescent="0.4">
      <c r="A1" s="4" t="s">
        <v>58</v>
      </c>
    </row>
    <row r="2" spans="1:11" x14ac:dyDescent="0.4">
      <c r="A2" s="4"/>
    </row>
    <row r="3" spans="1:11" x14ac:dyDescent="0.4">
      <c r="A3" t="s">
        <v>55</v>
      </c>
    </row>
    <row r="4" spans="1:11" x14ac:dyDescent="0.4">
      <c r="A4" s="1" t="s">
        <v>9</v>
      </c>
      <c r="B4" s="1" t="s">
        <v>56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10</v>
      </c>
      <c r="H4" s="1" t="s">
        <v>11</v>
      </c>
      <c r="I4" s="1" t="s">
        <v>3</v>
      </c>
      <c r="J4" s="1" t="s">
        <v>44</v>
      </c>
      <c r="K4" s="1" t="s">
        <v>45</v>
      </c>
    </row>
    <row r="5" spans="1:11" x14ac:dyDescent="0.4">
      <c r="A5" s="1" t="s">
        <v>31</v>
      </c>
      <c r="B5" s="1" t="s">
        <v>35</v>
      </c>
      <c r="C5" s="6">
        <f>最後X</f>
        <v>121.251</v>
      </c>
      <c r="D5" s="6">
        <f>最後Y</f>
        <v>98.497</v>
      </c>
      <c r="E5" s="6">
        <f>点群[[#This Row],[xn]]*縮尺</f>
        <v>121.251</v>
      </c>
      <c r="F5" s="6">
        <f>点群[[#This Row],[yn]]*縮尺</f>
        <v>98.497</v>
      </c>
      <c r="G5" s="9">
        <f ca="1">IF(点群[[#This Row],[点]]="ダミー",0,OFFSET(F5,-1,0)-OFFSET(F5,1,0))</f>
        <v>0</v>
      </c>
      <c r="H5" s="9">
        <f>IF(点群[[#This Row],[点]]="ダミー",0,点群[[#This Row],[Xn2]]*点群[[#This Row],[Yn+1-Yn-1]])</f>
        <v>0</v>
      </c>
      <c r="I5" s="9">
        <f>SQRT((点群[[#This Row],[Xn2]]-点群[[#This Row],[直交点Ｘ]])^2+(点群[[#This Row],[Yn2]]-点群[[#This Row],[直交点Ｙ]])^2)</f>
        <v>15.564723091216516</v>
      </c>
      <c r="J5" s="6">
        <f>1/(傾き^2+1)*(点群[[#This Row],[Xn2]]+傾き^2*AX+傾き*(点群[[#This Row],[Yn2]]-AY))</f>
        <v>105.68631719489592</v>
      </c>
      <c r="K5" s="6">
        <f>1/(傾き^2+1)*(AY+傾き^2*点群[[#This Row],[Yn2]]+傾き*(点群[[#This Row],[Xn2]]-AX))</f>
        <v>98.532413030735455</v>
      </c>
    </row>
    <row r="6" spans="1:11" x14ac:dyDescent="0.4">
      <c r="A6" s="3" t="s">
        <v>22</v>
      </c>
      <c r="B6" t="s">
        <v>33</v>
      </c>
      <c r="C6" s="12">
        <v>105.68600000000001</v>
      </c>
      <c r="D6" s="12">
        <v>98.393000000000001</v>
      </c>
      <c r="E6" s="6">
        <f>点群[[#This Row],[xn]]*縮尺</f>
        <v>105.68600000000001</v>
      </c>
      <c r="F6" s="6">
        <f>点群[[#This Row],[yn]]*縮尺</f>
        <v>98.393000000000001</v>
      </c>
      <c r="G6" s="6">
        <f ca="1">IF(点群[[#This Row],[点]]="ダミー",0,OFFSET(F6,-1,0)-OFFSET(F6,1,0))</f>
        <v>-2.7339999999999947</v>
      </c>
      <c r="H6" s="6">
        <f ca="1">IF(点群[[#This Row],[点]]="ダミー",0,点群[[#This Row],[Xn2]]*点群[[#This Row],[Yn+1-Yn-1]])</f>
        <v>-288.94552399999947</v>
      </c>
      <c r="I6" s="6">
        <f>SQRT((点群[[#This Row],[Xn2]]-点群[[#This Row],[直交点Ｘ]])^2+(点群[[#This Row],[Yn2]]-点群[[#This Row],[直交点Ｙ]])^2)</f>
        <v>1.4210854715202004E-14</v>
      </c>
      <c r="J6" s="6">
        <f>1/(傾き^2+1)*(点群[[#This Row],[Xn2]]+傾き^2*AX+傾き*(点群[[#This Row],[Yn2]]-AY))</f>
        <v>105.68600000000001</v>
      </c>
      <c r="K6" s="6">
        <f>1/(傾き^2+1)*(AY+傾き^2*点群[[#This Row],[Yn2]]+傾き*(点群[[#This Row],[Xn2]]-AX))</f>
        <v>98.392999999999986</v>
      </c>
    </row>
    <row r="7" spans="1:11" x14ac:dyDescent="0.4">
      <c r="A7" s="3" t="s">
        <v>41</v>
      </c>
      <c r="C7" s="12">
        <v>105.69199999999999</v>
      </c>
      <c r="D7" s="12">
        <v>101.23099999999999</v>
      </c>
      <c r="E7" s="6">
        <f>点群[[#This Row],[xn]]*縮尺</f>
        <v>105.69199999999999</v>
      </c>
      <c r="F7" s="6">
        <f>点群[[#This Row],[yn]]*縮尺</f>
        <v>101.23099999999999</v>
      </c>
      <c r="G7" s="6">
        <f ca="1">IF(点群[[#This Row],[点]]="ダミー",0,OFFSET(F7,-1,0)-OFFSET(F7,1,0))</f>
        <v>-11.867000000000004</v>
      </c>
      <c r="H7" s="6">
        <f ca="1">IF(点群[[#This Row],[点]]="ダミー",0,点群[[#This Row],[Xn2]]*点群[[#This Row],[Yn+1-Yn-1]])</f>
        <v>-1254.2469640000004</v>
      </c>
      <c r="I7" s="6">
        <f>SQRT((点群[[#This Row],[Xn2]]-点群[[#This Row],[直交点Ｘ]])^2+(点群[[#This Row],[Yn2]]-点群[[#This Row],[直交点Ｙ]])^2)</f>
        <v>4.5706462976416706E-4</v>
      </c>
      <c r="J7" s="6">
        <f>1/(傾き^2+1)*(点群[[#This Row],[Xn2]]+傾き^2*AX+傾き*(点群[[#This Row],[Yn2]]-AY))</f>
        <v>105.69245706344674</v>
      </c>
      <c r="K7" s="6">
        <f>1/(傾き^2+1)*(AY+傾き^2*点群[[#This Row],[Yn2]]+傾き*(点群[[#This Row],[Xn2]]-AX))</f>
        <v>101.23099896008148</v>
      </c>
    </row>
    <row r="8" spans="1:11" x14ac:dyDescent="0.4">
      <c r="A8" s="3" t="s">
        <v>46</v>
      </c>
      <c r="C8" s="12">
        <v>105.71299999999999</v>
      </c>
      <c r="D8" s="12">
        <v>110.26</v>
      </c>
      <c r="E8" s="6">
        <f>点群[[#This Row],[xn]]*縮尺</f>
        <v>105.71299999999999</v>
      </c>
      <c r="F8" s="6">
        <f>点群[[#This Row],[yn]]*縮尺</f>
        <v>110.26</v>
      </c>
      <c r="G8" s="6">
        <f ca="1">IF(点群[[#This Row],[点]]="ダミー",0,OFFSET(F8,-1,0)-OFFSET(F8,1,0))</f>
        <v>-8.8830000000000098</v>
      </c>
      <c r="H8" s="6">
        <f ca="1">IF(点群[[#This Row],[点]]="ダミー",0,点群[[#This Row],[Xn2]]*点群[[#This Row],[Yn+1-Yn-1]])</f>
        <v>-939.04857900000093</v>
      </c>
      <c r="I8" s="6">
        <f>SQRT((点群[[#This Row],[Xn2]]-点群[[#This Row],[直交点Ｘ]])^2+(点群[[#This Row],[Yn2]]-点群[[#This Row],[直交点Ｙ]])^2)</f>
        <v>0</v>
      </c>
      <c r="J8" s="6">
        <f>1/(傾き^2+1)*(点群[[#This Row],[Xn2]]+傾き^2*AX+傾き*(点群[[#This Row],[Yn2]]-AY))</f>
        <v>105.71299999999999</v>
      </c>
      <c r="K8" s="6">
        <f>1/(傾き^2+1)*(AY+傾き^2*点群[[#This Row],[Yn2]]+傾き*(点群[[#This Row],[Xn2]]-AX))</f>
        <v>110.26</v>
      </c>
    </row>
    <row r="9" spans="1:11" x14ac:dyDescent="0.4">
      <c r="A9" s="3" t="s">
        <v>59</v>
      </c>
      <c r="C9" s="12">
        <v>121.211</v>
      </c>
      <c r="D9" s="12">
        <v>110.114</v>
      </c>
      <c r="E9" s="6">
        <f>点群[[#This Row],[xn]]*縮尺</f>
        <v>121.211</v>
      </c>
      <c r="F9" s="6">
        <f>点群[[#This Row],[yn]]*縮尺</f>
        <v>110.114</v>
      </c>
      <c r="G9" s="6">
        <f ca="1">IF(点群[[#This Row],[点]]="ダミー",0,OFFSET(F9,-1,0)-OFFSET(F9,1,0))</f>
        <v>8.5999999999998522E-2</v>
      </c>
      <c r="H9" s="6">
        <f ca="1">IF(点群[[#This Row],[点]]="ダミー",0,点群[[#This Row],[Xn2]]*点群[[#This Row],[Yn+1-Yn-1]])</f>
        <v>10.424145999999821</v>
      </c>
      <c r="I9" s="6">
        <f>SQRT((点群[[#This Row],[Xn2]]-点群[[#This Row],[直交点Ｘ]])^2+(点群[[#This Row],[Yn2]]-点群[[#This Row],[直交点Ｙ]])^2)</f>
        <v>15.498292067407196</v>
      </c>
      <c r="J9" s="6">
        <f>1/(傾き^2+1)*(点群[[#This Row],[Xn2]]+傾き^2*AX+傾き*(点群[[#This Row],[Yn2]]-AY))</f>
        <v>105.71274804676207</v>
      </c>
      <c r="K9" s="6">
        <f>1/(傾き^2+1)*(AY+傾き^2*点群[[#This Row],[Yn2]]+傾き*(点群[[#This Row],[Xn2]]-AX))</f>
        <v>110.14926188613275</v>
      </c>
    </row>
    <row r="10" spans="1:11" x14ac:dyDescent="0.4">
      <c r="A10" s="3" t="s">
        <v>26</v>
      </c>
      <c r="C10" s="12">
        <v>123.61</v>
      </c>
      <c r="D10" s="12">
        <v>110.17400000000001</v>
      </c>
      <c r="E10" s="6">
        <f>点群[[#This Row],[xn]]*縮尺</f>
        <v>123.61</v>
      </c>
      <c r="F10" s="6">
        <f>点群[[#This Row],[yn]]*縮尺</f>
        <v>110.17400000000001</v>
      </c>
      <c r="G10" s="6">
        <f ca="1">IF(点群[[#This Row],[点]]="ダミー",0,OFFSET(F10,-1,0)-OFFSET(F10,1,0))</f>
        <v>-1.2999999999991019E-2</v>
      </c>
      <c r="H10" s="6">
        <f ca="1">IF(点群[[#This Row],[点]]="ダミー",0,点群[[#This Row],[Xn2]]*点群[[#This Row],[Yn+1-Yn-1]])</f>
        <v>-1.6069299999988897</v>
      </c>
      <c r="I10" s="6">
        <f>SQRT((点群[[#This Row],[Xn2]]-点群[[#This Row],[直交点Ｘ]])^2+(点群[[#This Row],[Yn2]]-点群[[#This Row],[直交点Ｙ]])^2)</f>
        <v>17.897149345418825</v>
      </c>
      <c r="J10" s="6">
        <f>1/(傾き^2+1)*(点群[[#This Row],[Xn2]]+傾き^2*AX+傾き*(点群[[#This Row],[Yn2]]-AY))</f>
        <v>105.71289697770344</v>
      </c>
      <c r="K10" s="6">
        <f>1/(傾き^2+1)*(AY+傾き^2*点群[[#This Row],[Yn2]]+傾き*(点群[[#This Row],[Xn2]]-AX))</f>
        <v>110.21471979283744</v>
      </c>
    </row>
    <row r="11" spans="1:11" x14ac:dyDescent="0.4">
      <c r="A11" s="3" t="s">
        <v>60</v>
      </c>
      <c r="C11" s="12">
        <v>128.535</v>
      </c>
      <c r="D11" s="12">
        <v>110.127</v>
      </c>
      <c r="E11" s="6">
        <f>点群[[#This Row],[xn]]*縮尺</f>
        <v>128.535</v>
      </c>
      <c r="F11" s="6">
        <f>点群[[#This Row],[yn]]*縮尺</f>
        <v>110.127</v>
      </c>
      <c r="G11" s="6">
        <f ca="1">IF(点群[[#This Row],[点]]="ダミー",0,OFFSET(F11,-1,0)-OFFSET(F11,1,0))</f>
        <v>11.52300000000001</v>
      </c>
      <c r="H11" s="6">
        <f ca="1">IF(点群[[#This Row],[点]]="ダミー",0,点群[[#This Row],[Xn2]]*点群[[#This Row],[Yn+1-Yn-1]])</f>
        <v>1481.1088050000012</v>
      </c>
      <c r="I11" s="6">
        <f>SQRT((点群[[#This Row],[Xn2]]-点群[[#This Row],[直交点Ｘ]])^2+(点群[[#This Row],[Yn2]]-点群[[#This Row],[直交点Ｙ]])^2)</f>
        <v>22.822243532982103</v>
      </c>
      <c r="J11" s="6">
        <f>1/(傾き^2+1)*(点群[[#This Row],[Xn2]]+傾き^2*AX+傾き*(点群[[#This Row],[Yn2]]-AY))</f>
        <v>105.71281553774234</v>
      </c>
      <c r="K11" s="6">
        <f>1/(傾き^2+1)*(AY+傾き^2*点群[[#This Row],[Yn2]]+傾き*(点群[[#This Row],[Xn2]]-AX))</f>
        <v>110.17892542179833</v>
      </c>
    </row>
    <row r="12" spans="1:11" x14ac:dyDescent="0.4">
      <c r="A12" s="3" t="s">
        <v>61</v>
      </c>
      <c r="C12" s="12">
        <v>128.33099999999999</v>
      </c>
      <c r="D12" s="12">
        <v>98.650999999999996</v>
      </c>
      <c r="E12" s="6">
        <f>点群[[#This Row],[xn]]*縮尺</f>
        <v>128.33099999999999</v>
      </c>
      <c r="F12" s="6">
        <f>点群[[#This Row],[yn]]*縮尺</f>
        <v>98.650999999999996</v>
      </c>
      <c r="G12" s="6">
        <f ca="1">IF(点群[[#This Row],[点]]="ダミー",0,OFFSET(F12,-1,0)-OFFSET(F12,1,0))</f>
        <v>11.629999999999995</v>
      </c>
      <c r="H12" s="6">
        <f ca="1">IF(点群[[#This Row],[点]]="ダミー",0,点群[[#This Row],[Xn2]]*点群[[#This Row],[Yn+1-Yn-1]])</f>
        <v>1492.4895299999994</v>
      </c>
      <c r="I12" s="6">
        <f>SQRT((点群[[#This Row],[Xn2]]-点群[[#This Row],[直交点Ｘ]])^2+(点群[[#This Row],[Yn2]]-点群[[#This Row],[直交点Ｙ]])^2)</f>
        <v>22.644354383570644</v>
      </c>
      <c r="J12" s="6">
        <f>1/(傾き^2+1)*(点群[[#This Row],[Xn2]]+傾き^2*AX+傾き*(点群[[#This Row],[Yn2]]-AY))</f>
        <v>105.686704226724</v>
      </c>
      <c r="K12" s="6">
        <f>1/(傾き^2+1)*(AY+傾き^2*点群[[#This Row],[Yn2]]+傾き*(点群[[#This Row],[Xn2]]-AX))</f>
        <v>98.702520686431114</v>
      </c>
    </row>
    <row r="13" spans="1:11" x14ac:dyDescent="0.4">
      <c r="A13" s="3" t="s">
        <v>32</v>
      </c>
      <c r="B13" t="s">
        <v>34</v>
      </c>
      <c r="C13" s="12">
        <v>121.251</v>
      </c>
      <c r="D13" s="12">
        <v>98.497</v>
      </c>
      <c r="E13" s="6">
        <f>点群[[#This Row],[xn]]*縮尺</f>
        <v>121.251</v>
      </c>
      <c r="F13" s="6">
        <f>点群[[#This Row],[yn]]*縮尺</f>
        <v>98.497</v>
      </c>
      <c r="G13" s="6">
        <f ca="1">IF(点群[[#This Row],[点]]="ダミー",0,OFFSET(F13,-1,0)-OFFSET(F13,1,0))</f>
        <v>0.25799999999999557</v>
      </c>
      <c r="H13" s="6">
        <f ca="1">IF(点群[[#This Row],[点]]="ダミー",0,点群[[#This Row],[Xn2]]*点群[[#This Row],[Yn+1-Yn-1]])</f>
        <v>31.282757999999465</v>
      </c>
      <c r="I13" s="6">
        <f>SQRT((点群[[#This Row],[Xn2]]-点群[[#This Row],[直交点Ｘ]])^2+(点群[[#This Row],[Yn2]]-点群[[#This Row],[直交点Ｙ]])^2)</f>
        <v>15.564723091216516</v>
      </c>
      <c r="J13" s="6">
        <f>1/(傾き^2+1)*(点群[[#This Row],[Xn2]]+傾き^2*AX+傾き*(点群[[#This Row],[Yn2]]-AY))</f>
        <v>105.68631719489592</v>
      </c>
      <c r="K13" s="6">
        <f>1/(傾き^2+1)*(AY+傾き^2*点群[[#This Row],[Yn2]]+傾き*(点群[[#This Row],[Xn2]]-AX))</f>
        <v>98.532413030735455</v>
      </c>
    </row>
    <row r="14" spans="1:11" x14ac:dyDescent="0.4">
      <c r="A14" s="1" t="s">
        <v>31</v>
      </c>
      <c r="B14" s="1" t="s">
        <v>36</v>
      </c>
      <c r="C14" s="6" cm="1">
        <f t="array" ref="C14">最初X</f>
        <v>105.68600000000001</v>
      </c>
      <c r="D14" s="6">
        <f>最初Y</f>
        <v>98.393000000000001</v>
      </c>
      <c r="E14" s="6">
        <f>点群[[#This Row],[xn]]*縮尺</f>
        <v>105.68600000000001</v>
      </c>
      <c r="F14" s="6">
        <f>点群[[#This Row],[yn]]*縮尺</f>
        <v>98.393000000000001</v>
      </c>
      <c r="G14" s="6">
        <f ca="1">IF(点群[[#This Row],[点]]="ダミー",0,OFFSET(F14,-1,0)-OFFSET(F14,1,0))</f>
        <v>0</v>
      </c>
      <c r="H14" s="6">
        <f>IF(点群[[#This Row],[点]]="ダミー",0,点群[[#This Row],[Xn2]]*点群[[#This Row],[Yn+1-Yn-1]])</f>
        <v>0</v>
      </c>
      <c r="I14" s="6">
        <f>SQRT((点群[[#This Row],[Xn2]]-点群[[#This Row],[直交点Ｘ]])^2+(点群[[#This Row],[Yn2]]-点群[[#This Row],[直交点Ｙ]])^2)</f>
        <v>1.4210854715202004E-14</v>
      </c>
      <c r="J14" s="6">
        <f>1/(傾き^2+1)*(点群[[#This Row],[Xn2]]+傾き^2*AX+傾き*(点群[[#This Row],[Yn2]]-AY))</f>
        <v>105.68600000000001</v>
      </c>
      <c r="K14" s="6">
        <f>1/(傾き^2+1)*(AY+傾き^2*点群[[#This Row],[Yn2]]+傾き*(点群[[#This Row],[Xn2]]-AX))</f>
        <v>98.392999999999986</v>
      </c>
    </row>
    <row r="15" spans="1:11" x14ac:dyDescent="0.4">
      <c r="A15" t="s">
        <v>30</v>
      </c>
      <c r="H15" s="6">
        <f ca="1">SUBTOTAL(109,点群[Xn*(Yn+1-Yn-1)])</f>
        <v>531.45724200000006</v>
      </c>
      <c r="I15" s="6">
        <f>SUBTOTAL(104,点群[奥行距離])</f>
        <v>22.822243532982103</v>
      </c>
      <c r="J15" s="6">
        <f>SUBTOTAL(104,点群[直交点Ｘ])</f>
        <v>105.71299999999999</v>
      </c>
      <c r="K15" s="6">
        <f>SUBTOTAL(104,点群[直交点Ｙ])</f>
        <v>110.26</v>
      </c>
    </row>
    <row r="16" spans="1:11" x14ac:dyDescent="0.4">
      <c r="H16" s="6"/>
      <c r="I16" s="9" t="s">
        <v>62</v>
      </c>
      <c r="J16" s="6">
        <f>MAX(点群[直交点Ｘ])</f>
        <v>105.71299999999999</v>
      </c>
      <c r="K16" s="6">
        <f>MAX(点群[直交点Ｙ])</f>
        <v>110.26</v>
      </c>
    </row>
    <row r="17" spans="1:11" x14ac:dyDescent="0.4">
      <c r="H17" s="6"/>
      <c r="I17" s="9" t="s">
        <v>47</v>
      </c>
      <c r="J17" s="6">
        <f>MIN(点群[直交点Ｘ])</f>
        <v>105.68600000000001</v>
      </c>
      <c r="K17" s="6">
        <f>MIN(点群[直交点Ｙ])</f>
        <v>98.392999999999986</v>
      </c>
    </row>
    <row r="19" spans="1:11" x14ac:dyDescent="0.4">
      <c r="A19" t="s">
        <v>14</v>
      </c>
      <c r="B19">
        <f>IF(実際の距離=0,1,実際の距離/図上の距離)</f>
        <v>1</v>
      </c>
      <c r="D19" t="s">
        <v>54</v>
      </c>
    </row>
    <row r="20" spans="1:11" x14ac:dyDescent="0.4">
      <c r="B20" t="s">
        <v>17</v>
      </c>
      <c r="C20" s="7">
        <v>0</v>
      </c>
      <c r="D20" t="s">
        <v>53</v>
      </c>
    </row>
    <row r="21" spans="1:11" x14ac:dyDescent="0.4">
      <c r="B21" t="s">
        <v>18</v>
      </c>
      <c r="C21">
        <f>SQRT((C24-C23)^2+(D24-D23)^2)</f>
        <v>15.565347442315572</v>
      </c>
    </row>
    <row r="22" spans="1:11" x14ac:dyDescent="0.4">
      <c r="B22" s="1" t="s">
        <v>9</v>
      </c>
      <c r="C22" s="1" t="s">
        <v>7</v>
      </c>
      <c r="D22" s="1" t="s">
        <v>8</v>
      </c>
      <c r="E22" s="1"/>
      <c r="F22" s="1"/>
    </row>
    <row r="23" spans="1:11" x14ac:dyDescent="0.4">
      <c r="A23" t="s">
        <v>15</v>
      </c>
      <c r="B23" s="7" t="s">
        <v>22</v>
      </c>
      <c r="C23">
        <f>VLOOKUP(B23,点群[],MATCH(点群[[#Headers],[xn]],点群[#Headers],0),0)</f>
        <v>105.68600000000001</v>
      </c>
      <c r="D23">
        <f>VLOOKUP(B23,点群[],MATCH(点群[[#Headers],[yn]],点群[#Headers],0),0)</f>
        <v>98.393000000000001</v>
      </c>
      <c r="E23" t="s">
        <v>52</v>
      </c>
    </row>
    <row r="24" spans="1:11" x14ac:dyDescent="0.4">
      <c r="A24" t="s">
        <v>16</v>
      </c>
      <c r="B24" s="7" t="s">
        <v>32</v>
      </c>
      <c r="C24">
        <f>VLOOKUP(B24,点群[],MATCH(点群[[#Headers],[xn]],点群[#Headers],0),0)</f>
        <v>121.251</v>
      </c>
      <c r="D24">
        <f>VLOOKUP(B24,点群[],MATCH(点群[[#Headers],[yn]],点群[#Headers],0),0)</f>
        <v>98.497</v>
      </c>
      <c r="E24" t="s">
        <v>52</v>
      </c>
    </row>
    <row r="26" spans="1:11" x14ac:dyDescent="0.4">
      <c r="A26" s="4" t="s">
        <v>6</v>
      </c>
      <c r="B26" s="5">
        <f ca="1">ABS(点群[[#Totals],[Xn*(Yn+1-Yn-1)]]/2)</f>
        <v>265.72862100000003</v>
      </c>
      <c r="C26" t="s">
        <v>57</v>
      </c>
    </row>
    <row r="28" spans="1:11" x14ac:dyDescent="0.4">
      <c r="A28" s="4" t="s">
        <v>4</v>
      </c>
    </row>
    <row r="29" spans="1:11" x14ac:dyDescent="0.4">
      <c r="B29" s="4" t="s">
        <v>5</v>
      </c>
      <c r="C29" s="4">
        <f>SQRT((C35-C34)^2+(D35-D34)^2)</f>
        <v>11.867030715389596</v>
      </c>
    </row>
    <row r="30" spans="1:11" x14ac:dyDescent="0.4">
      <c r="B30" t="s">
        <v>2</v>
      </c>
      <c r="C30">
        <f>(D35-D34)/(C35-C34)</f>
        <v>439.51851851873334</v>
      </c>
    </row>
    <row r="31" spans="1:11" x14ac:dyDescent="0.4">
      <c r="B31" t="s">
        <v>42</v>
      </c>
      <c r="C31">
        <f>C34</f>
        <v>105.68600000000001</v>
      </c>
    </row>
    <row r="32" spans="1:11" x14ac:dyDescent="0.4">
      <c r="B32" t="s">
        <v>43</v>
      </c>
      <c r="C32">
        <f>D34</f>
        <v>98.393000000000001</v>
      </c>
    </row>
    <row r="33" spans="1:6" x14ac:dyDescent="0.4">
      <c r="B33" s="1" t="s">
        <v>9</v>
      </c>
      <c r="C33" s="1" t="s">
        <v>0</v>
      </c>
      <c r="D33" s="1" t="s">
        <v>1</v>
      </c>
      <c r="E33" s="1"/>
      <c r="F33" s="1"/>
    </row>
    <row r="34" spans="1:6" x14ac:dyDescent="0.4">
      <c r="A34" t="s">
        <v>12</v>
      </c>
      <c r="B34" s="3" t="s">
        <v>22</v>
      </c>
      <c r="C34">
        <f>VLOOKUP(B34,点群[],MATCH(点群[[#Headers],[Xn2]],点群[#Headers],0),0)</f>
        <v>105.68600000000001</v>
      </c>
      <c r="D34">
        <f>VLOOKUP(B34,点群[],MATCH(点群[[#Headers],[Yn2]],点群[#Headers],0),0)</f>
        <v>98.393000000000001</v>
      </c>
      <c r="E34" t="s">
        <v>50</v>
      </c>
    </row>
    <row r="35" spans="1:6" x14ac:dyDescent="0.4">
      <c r="A35" t="s">
        <v>13</v>
      </c>
      <c r="B35" s="3" t="s">
        <v>46</v>
      </c>
      <c r="C35">
        <f>VLOOKUP(B35,点群[],MATCH(点群[[#Headers],[Xn2]],点群[#Headers],0),0)</f>
        <v>105.71299999999999</v>
      </c>
      <c r="D35">
        <f>VLOOKUP(B35,点群[],MATCH(点群[[#Headers],[Yn2]],点群[#Headers],0),0)</f>
        <v>110.26</v>
      </c>
      <c r="E35" t="s">
        <v>51</v>
      </c>
    </row>
    <row r="37" spans="1:6" x14ac:dyDescent="0.4">
      <c r="A37" s="4" t="s">
        <v>63</v>
      </c>
    </row>
    <row r="38" spans="1:6" x14ac:dyDescent="0.4">
      <c r="B38" t="str">
        <f>INDEX(点群[点],MATCH(点群[[#Totals],[奥行距離]],点群[奥行距離],0),1)</f>
        <v>P4</v>
      </c>
    </row>
    <row r="39" spans="1:6" x14ac:dyDescent="0.4">
      <c r="B39" s="4" t="s">
        <v>3</v>
      </c>
      <c r="C39" s="4">
        <f>点群[[#Totals],[奥行距離]]</f>
        <v>22.822243532982103</v>
      </c>
    </row>
    <row r="41" spans="1:6" x14ac:dyDescent="0.4">
      <c r="A41" s="4" t="s">
        <v>21</v>
      </c>
    </row>
    <row r="42" spans="1:6" x14ac:dyDescent="0.4">
      <c r="B42" s="4" t="s">
        <v>5</v>
      </c>
      <c r="C42" s="4">
        <f>SQRT((C46-C45)^2+(D46-D45)^2)</f>
        <v>11.86703071538961</v>
      </c>
    </row>
    <row r="43" spans="1:6" x14ac:dyDescent="0.4">
      <c r="B43" s="4" t="s">
        <v>3</v>
      </c>
      <c r="C43" s="4">
        <f>奥行距離</f>
        <v>22.822243532982103</v>
      </c>
    </row>
    <row r="44" spans="1:6" x14ac:dyDescent="0.4">
      <c r="B44" s="1" t="s">
        <v>9</v>
      </c>
      <c r="C44" s="1" t="s">
        <v>0</v>
      </c>
      <c r="D44" s="1" t="s">
        <v>1</v>
      </c>
      <c r="E44" s="1"/>
      <c r="F44" s="1"/>
    </row>
    <row r="45" spans="1:6" x14ac:dyDescent="0.4">
      <c r="A45" t="s">
        <v>19</v>
      </c>
      <c r="B45" s="8" t="str">
        <f>IF(直交点のX最大&lt;&gt;直交点のX最小,INDEX(点群[点],MATCH(直交点のX最小,点群[直交点Ｘ],0),1),INDEX(点群[点],MATCH(直交点のY最小,点群[直交点Ｙ],0),1))</f>
        <v>P1</v>
      </c>
      <c r="C45">
        <f>VLOOKUP(B45,点群[],MATCH(点群[[#Headers],[直交点Ｘ]],点群[#Headers],0),0)</f>
        <v>105.68600000000001</v>
      </c>
      <c r="D45">
        <f>VLOOKUP(B45,点群[],MATCH(点群[[#Headers],[直交点Ｙ]],点群[#Headers],0),0)</f>
        <v>98.392999999999986</v>
      </c>
      <c r="E45" t="s">
        <v>48</v>
      </c>
    </row>
    <row r="46" spans="1:6" x14ac:dyDescent="0.4">
      <c r="A46" t="s">
        <v>20</v>
      </c>
      <c r="B46" s="8" t="str">
        <f>IF(直交点のX最大&lt;&gt;直交点のX最小,INDEX(点群[点],MATCH(直交点のX最大,点群[直交点Ｘ],0),1),INDEX(点群[点],MATCH(直交点のY最大,点群[直交点Ｙ],0),1))</f>
        <v>P7</v>
      </c>
      <c r="C46">
        <f>VLOOKUP(B46,点群[],MATCH(点群[[#Headers],[直交点Ｘ]],点群[#Headers],0),0)</f>
        <v>105.71299999999999</v>
      </c>
      <c r="D46">
        <f>VLOOKUP(B46,点群[],MATCH(点群[[#Headers],[直交点Ｙ]],点群[#Headers],0),0)</f>
        <v>110.26</v>
      </c>
      <c r="E46" t="s">
        <v>49</v>
      </c>
    </row>
    <row r="48" spans="1:6" x14ac:dyDescent="0.4">
      <c r="A48" s="4" t="s">
        <v>84</v>
      </c>
    </row>
    <row r="49" spans="1:5" x14ac:dyDescent="0.4">
      <c r="B49" s="4" t="s">
        <v>5</v>
      </c>
      <c r="C49" s="4">
        <f>SQRT((C55-C54)^2+(D55-D54)^2)</f>
        <v>11.476434439777977</v>
      </c>
    </row>
    <row r="50" spans="1:5" x14ac:dyDescent="0.4">
      <c r="B50" t="s">
        <v>2</v>
      </c>
      <c r="C50">
        <f>(D55-D54)/(C55-C54)</f>
        <v>439.51851851890387</v>
      </c>
    </row>
    <row r="51" spans="1:5" x14ac:dyDescent="0.4">
      <c r="B51" t="s">
        <v>42</v>
      </c>
      <c r="C51">
        <f>C54</f>
        <v>105.686704226724</v>
      </c>
    </row>
    <row r="52" spans="1:5" x14ac:dyDescent="0.4">
      <c r="B52" t="s">
        <v>43</v>
      </c>
      <c r="C52">
        <f>D54</f>
        <v>98.702520686431114</v>
      </c>
    </row>
    <row r="53" spans="1:5" x14ac:dyDescent="0.4">
      <c r="B53" s="1" t="s">
        <v>9</v>
      </c>
      <c r="C53" s="1" t="s">
        <v>0</v>
      </c>
      <c r="D53" s="1" t="s">
        <v>1</v>
      </c>
      <c r="E53" s="1"/>
    </row>
    <row r="54" spans="1:5" x14ac:dyDescent="0.4">
      <c r="A54" t="s">
        <v>12</v>
      </c>
      <c r="B54" s="13" t="s">
        <v>61</v>
      </c>
      <c r="C54">
        <f>VLOOKUP(B54,点群[],MATCH(点群[[#Headers],[直交点Ｘ]],点群[#Headers],0),0)</f>
        <v>105.686704226724</v>
      </c>
      <c r="D54">
        <f>VLOOKUP(B54,点群[],MATCH(点群[[#Headers],[直交点Ｙ]],点群[#Headers],0),0)</f>
        <v>98.702520686431114</v>
      </c>
      <c r="E54" t="s">
        <v>50</v>
      </c>
    </row>
    <row r="55" spans="1:5" x14ac:dyDescent="0.4">
      <c r="A55" t="s">
        <v>13</v>
      </c>
      <c r="B55" s="13" t="s">
        <v>60</v>
      </c>
      <c r="C55">
        <f>VLOOKUP(B55,点群[],MATCH(点群[[#Headers],[直交点Ｘ]],点群[#Headers],0),0)</f>
        <v>105.71281553774234</v>
      </c>
      <c r="D55">
        <f>VLOOKUP(B55,点群[],MATCH(点群[[#Headers],[直交点Ｙ]],点群[#Headers],0),0)</f>
        <v>110.17892542179833</v>
      </c>
      <c r="E55" t="s">
        <v>51</v>
      </c>
    </row>
  </sheetData>
  <phoneticPr fontId="2"/>
  <pageMargins left="0.7" right="0.7" top="0.75" bottom="0.75" header="0.3" footer="0.3"/>
  <pageSetup paperSize="9" scale="7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E5FD-5567-4648-9B25-37E4291B0D72}">
  <sheetPr>
    <pageSetUpPr fitToPage="1"/>
  </sheetPr>
  <dimension ref="A1:K44"/>
  <sheetViews>
    <sheetView workbookViewId="0">
      <selection activeCell="B17" sqref="B17"/>
    </sheetView>
  </sheetViews>
  <sheetFormatPr defaultRowHeight="18.75" x14ac:dyDescent="0.4"/>
  <cols>
    <col min="2" max="2" width="12.375" customWidth="1"/>
    <col min="4" max="4" width="9.125" customWidth="1"/>
    <col min="5" max="8" width="9.25" customWidth="1"/>
    <col min="9" max="9" width="10.625" customWidth="1"/>
    <col min="10" max="11" width="9.25" customWidth="1"/>
  </cols>
  <sheetData>
    <row r="1" spans="1:11" x14ac:dyDescent="0.4">
      <c r="A1" s="4" t="s">
        <v>58</v>
      </c>
    </row>
    <row r="2" spans="1:11" x14ac:dyDescent="0.4">
      <c r="A2" s="4"/>
    </row>
    <row r="3" spans="1:11" x14ac:dyDescent="0.4">
      <c r="A3" t="s">
        <v>55</v>
      </c>
    </row>
    <row r="4" spans="1:11" x14ac:dyDescent="0.4">
      <c r="A4" s="1" t="s">
        <v>9</v>
      </c>
      <c r="B4" s="1" t="s">
        <v>56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10</v>
      </c>
      <c r="H4" s="1" t="s">
        <v>11</v>
      </c>
      <c r="I4" s="1" t="s">
        <v>3</v>
      </c>
      <c r="J4" s="1" t="s">
        <v>44</v>
      </c>
      <c r="K4" s="1" t="s">
        <v>45</v>
      </c>
    </row>
    <row r="5" spans="1:11" x14ac:dyDescent="0.4">
      <c r="A5" s="1" t="s">
        <v>31</v>
      </c>
      <c r="B5" s="1" t="s">
        <v>35</v>
      </c>
      <c r="C5">
        <f>最後Ｘ</f>
        <v>859</v>
      </c>
      <c r="D5">
        <f>最後Ｙ</f>
        <v>385</v>
      </c>
      <c r="E5" s="6">
        <f>点群_9[[#This Row],[xn]]*縮尺</f>
        <v>20.539220363836826</v>
      </c>
      <c r="F5" s="6">
        <f>点群_9[[#This Row],[yn]]*縮尺</f>
        <v>9.2055877067254688</v>
      </c>
      <c r="G5" s="9">
        <f ca="1">IF(点群[[#This Row],[点]]="ダミー",0,OFFSET(F5,-1,0)-OFFSET(F5,1,0))</f>
        <v>0</v>
      </c>
      <c r="H5" s="9">
        <f>IF(点群_9[[#This Row],[点]]="ダミー",0,点群_9[[#This Row],[Xn2]]*点群_9[[#This Row],[Yn+1-Yn-1]])</f>
        <v>0</v>
      </c>
      <c r="I5" s="10">
        <f>SQRT((点群_9[[#This Row],[Xn2]]-点群_9[[#This Row],[直交点Ｘ]])^2+(点群_9[[#This Row],[Yn2]]-点群_9[[#This Row],[直交点Ｙ]])^2)</f>
        <v>1.7763568394002505E-15</v>
      </c>
      <c r="J5" s="11">
        <f>1/(傾き^2+1)*(点群_9[[#This Row],[Xn2]]+傾き^2*AX+傾き*(点群_9[[#This Row],[Yn2]]-AY))</f>
        <v>20.539220363836826</v>
      </c>
      <c r="K5" s="11">
        <f>1/(傾き^2+1)*(AY+傾き^2*点群_9[[#This Row],[Yn2]]+傾き*(点群_9[[#This Row],[Xn2]]-AX))</f>
        <v>9.205587706725467</v>
      </c>
    </row>
    <row r="6" spans="1:11" x14ac:dyDescent="0.4">
      <c r="A6" s="3" t="s">
        <v>22</v>
      </c>
      <c r="B6" t="s">
        <v>33</v>
      </c>
      <c r="C6" s="3">
        <v>371</v>
      </c>
      <c r="D6" s="3">
        <v>383</v>
      </c>
      <c r="E6" s="6">
        <f>点群_9[[#This Row],[xn]]*縮尺</f>
        <v>8.8708390628445439</v>
      </c>
      <c r="F6" s="6">
        <f>点群_9[[#This Row],[yn]]*縮尺</f>
        <v>9.1577664718853367</v>
      </c>
      <c r="G6" s="6">
        <f ca="1">IF(点群[[#This Row],[点]]="ダミー",0,OFFSET(F6,-1,0)-OFFSET(F6,1,0))</f>
        <v>-21.639108765159868</v>
      </c>
      <c r="H6" s="6">
        <f ca="1">IF(点群_9[[#This Row],[点]]="ダミー",0,点群_9[[#This Row],[Xn2]]*点群_9[[#This Row],[Yn+1-Yn-1]])</f>
        <v>-191.95705131912192</v>
      </c>
      <c r="I6" s="11">
        <f>SQRT((点群_9[[#This Row],[Xn2]]-点群_9[[#This Row],[直交点Ｘ]])^2+(点群_9[[#This Row],[Yn2]]-点群_9[[#This Row],[直交点Ｙ]])^2)</f>
        <v>2.5121479338940403E-15</v>
      </c>
      <c r="J6" s="11">
        <f>1/(傾き^2+1)*(点群_9[[#This Row],[Xn2]]+傾き^2*AX+傾き*(点群_9[[#This Row],[Yn2]]-AY))</f>
        <v>8.8708390628445422</v>
      </c>
      <c r="K6" s="11">
        <f>1/(傾き^2+1)*(AY+傾き^2*点群_9[[#This Row],[Yn2]]+傾き*(点群_9[[#This Row],[Xn2]]-AX))</f>
        <v>9.1577664718853349</v>
      </c>
    </row>
    <row r="7" spans="1:11" x14ac:dyDescent="0.4">
      <c r="A7" s="3" t="s">
        <v>23</v>
      </c>
      <c r="C7" s="3">
        <v>371</v>
      </c>
      <c r="D7" s="3">
        <v>1290</v>
      </c>
      <c r="E7" s="6">
        <f>点群_9[[#This Row],[xn]]*縮尺</f>
        <v>8.8708390628445439</v>
      </c>
      <c r="F7" s="6">
        <f>点群_9[[#This Row],[yn]]*縮尺</f>
        <v>30.844696471885339</v>
      </c>
      <c r="G7" s="6">
        <f ca="1">IF(点群[[#This Row],[点]]="ダミー",0,OFFSET(F7,-1,0)-OFFSET(F7,1,0))</f>
        <v>-21.663019382579932</v>
      </c>
      <c r="H7" s="6">
        <f ca="1">IF(点群_9[[#This Row],[点]]="ダミー",0,点群_9[[#This Row],[Xn2]]*点群_9[[#This Row],[Yn+1-Yn-1]])</f>
        <v>-192.16915855814855</v>
      </c>
      <c r="I7" s="11">
        <f>SQRT((点群_9[[#This Row],[Xn2]]-点群_9[[#This Row],[直交点Ｘ]])^2+(点群_9[[#This Row],[Yn2]]-点群_9[[#This Row],[直交点Ｙ]])^2)</f>
        <v>21.686747869383197</v>
      </c>
      <c r="J7" s="11">
        <f>1/(傾き^2+1)*(点群_9[[#This Row],[Xn2]]+傾き^2*AX+傾き*(点群_9[[#This Row],[Yn2]]-AY))</f>
        <v>8.9597184306326394</v>
      </c>
      <c r="K7" s="11">
        <f>1/(傾き^2+1)*(AY+傾き^2*点群_9[[#This Row],[Yn2]]+傾き*(点群_9[[#This Row],[Xn2]]-AX))</f>
        <v>9.1581307315893863</v>
      </c>
    </row>
    <row r="8" spans="1:11" x14ac:dyDescent="0.4">
      <c r="A8" s="3" t="s">
        <v>24</v>
      </c>
      <c r="C8" s="3">
        <v>405</v>
      </c>
      <c r="D8" s="3">
        <v>1289</v>
      </c>
      <c r="E8" s="6">
        <f>点群_9[[#This Row],[xn]]*縮尺</f>
        <v>9.6838000551267918</v>
      </c>
      <c r="F8" s="6">
        <f>点群_9[[#This Row],[yn]]*縮尺</f>
        <v>30.820785854465271</v>
      </c>
      <c r="G8" s="6">
        <f ca="1">IF(点群[[#This Row],[点]]="ダミー",0,OFFSET(F8,-1,0)-OFFSET(F8,1,0))</f>
        <v>-4.3995536052921729</v>
      </c>
      <c r="H8" s="6">
        <f ca="1">IF(点群_9[[#This Row],[点]]="ダミー",0,点群_9[[#This Row],[Xn2]]*点群_9[[#This Row],[Yn+1-Yn-1]])</f>
        <v>-42.604397445461622</v>
      </c>
      <c r="I8" s="11">
        <f>SQRT((点群_9[[#This Row],[Xn2]]-点群_9[[#This Row],[直交点Ｘ]])^2+(点群_9[[#This Row],[Yn2]]-点群_9[[#This Row],[直交点Ｙ]])^2)</f>
        <v>21.65950567340434</v>
      </c>
      <c r="J8" s="11">
        <f>1/(傾き^2+1)*(点群_9[[#This Row],[Xn2]]+傾き^2*AX+傾き*(点群_9[[#This Row],[Yn2]]-AY))</f>
        <v>9.7725677755083549</v>
      </c>
      <c r="K8" s="11">
        <f>1/(傾き^2+1)*(AY+傾き^2*点群_9[[#This Row],[Yn2]]+傾き*(点群_9[[#This Row],[Xn2]]-AX))</f>
        <v>9.1614620813634655</v>
      </c>
    </row>
    <row r="9" spans="1:11" x14ac:dyDescent="0.4">
      <c r="A9" s="3" t="s">
        <v>25</v>
      </c>
      <c r="C9" s="3">
        <v>410</v>
      </c>
      <c r="D9" s="3">
        <v>1474</v>
      </c>
      <c r="E9" s="6">
        <f>点群_9[[#This Row],[xn]]*縮尺</f>
        <v>9.8033531422271238</v>
      </c>
      <c r="F9" s="6">
        <f>点群_9[[#This Row],[yn]]*縮尺</f>
        <v>35.244250077177512</v>
      </c>
      <c r="G9" s="6">
        <f ca="1">IF(点群[[#This Row],[点]]="ダミー",0,OFFSET(F9,-1,0)-OFFSET(F9,1,0))</f>
        <v>-4.3278217530319765</v>
      </c>
      <c r="H9" s="6">
        <f ca="1">IF(点群_9[[#This Row],[点]]="ダミー",0,点群_9[[#This Row],[Xn2]]*点群_9[[#This Row],[Yn+1-Yn-1]])</f>
        <v>-42.427164981584923</v>
      </c>
      <c r="I9" s="11">
        <f>SQRT((点群_9[[#This Row],[Xn2]]-点群_9[[#This Row],[直交点Ｘ]])^2+(点群_9[[#This Row],[Yn2]]-点群_9[[#This Row],[直交点Ｙ]])^2)</f>
        <v>26.082442779539729</v>
      </c>
      <c r="J9" s="11">
        <f>1/(傾き^2+1)*(点群_9[[#This Row],[Xn2]]+傾き^2*AX+傾き*(点群_9[[#This Row],[Yn2]]-AY))</f>
        <v>9.9102475017953218</v>
      </c>
      <c r="K9" s="11">
        <f>1/(傾き^2+1)*(AY+傾き^2*点群_9[[#This Row],[Yn2]]+傾き*(点群_9[[#This Row],[Xn2]]-AX))</f>
        <v>9.1620263425367732</v>
      </c>
    </row>
    <row r="10" spans="1:11" x14ac:dyDescent="0.4">
      <c r="A10" s="3" t="s">
        <v>26</v>
      </c>
      <c r="C10" s="3">
        <v>860</v>
      </c>
      <c r="D10" s="3">
        <v>1470</v>
      </c>
      <c r="E10" s="6">
        <f>点群_9[[#This Row],[xn]]*縮尺</f>
        <v>20.563130981256894</v>
      </c>
      <c r="F10" s="6">
        <f>点群_9[[#This Row],[yn]]*縮尺</f>
        <v>35.148607607497247</v>
      </c>
      <c r="G10" s="6">
        <f ca="1">IF(点群[[#This Row],[点]]="ダミー",0,OFFSET(F10,-1,0)-OFFSET(F10,1,0))</f>
        <v>2.9410059426681343</v>
      </c>
      <c r="H10" s="6">
        <f ca="1">IF(点群_9[[#This Row],[点]]="ダミー",0,点群_9[[#This Row],[Xn2]]*点群_9[[#This Row],[Yn+1-Yn-1]])</f>
        <v>60.476290415739747</v>
      </c>
      <c r="I10" s="11">
        <f>SQRT((点群_9[[#This Row],[Xn2]]-点群_9[[#This Row],[直交点Ｘ]])^2+(点群_9[[#This Row],[Yn2]]-点群_9[[#This Row],[直交点Ｙ]])^2)</f>
        <v>25.942704033259702</v>
      </c>
      <c r="J10" s="11">
        <f>1/(傾き^2+1)*(点群_9[[#This Row],[Xn2]]+傾き^2*AX+傾き*(点群_9[[#This Row],[Yn2]]-AY))</f>
        <v>20.669452645854886</v>
      </c>
      <c r="K10" s="11">
        <f>1/(傾き^2+1)*(AY+傾き^2*点群_9[[#This Row],[Yn2]]+傾き*(点群_9[[#This Row],[Xn2]]-AX))</f>
        <v>9.2061214455861986</v>
      </c>
    </row>
    <row r="11" spans="1:11" x14ac:dyDescent="0.4">
      <c r="A11" s="3" t="s">
        <v>27</v>
      </c>
      <c r="C11" s="3">
        <v>857</v>
      </c>
      <c r="D11" s="3">
        <v>1351</v>
      </c>
      <c r="E11" s="6">
        <f>点群_9[[#This Row],[xn]]*縮尺</f>
        <v>20.491399128996694</v>
      </c>
      <c r="F11" s="6">
        <f>点群_9[[#This Row],[yn]]*縮尺</f>
        <v>32.303244134509377</v>
      </c>
      <c r="G11" s="6">
        <f ca="1">IF(点群[[#This Row],[点]]="ダミー",0,OFFSET(F11,-1,0)-OFFSET(F11,1,0))</f>
        <v>2.8692740904079415</v>
      </c>
      <c r="H11" s="6">
        <f ca="1">IF(点群_9[[#This Row],[点]]="ダミー",0,点群_9[[#This Row],[Xn2]]*点群_9[[#This Row],[Yn+1-Yn-1]])</f>
        <v>58.795440597038073</v>
      </c>
      <c r="I11" s="11">
        <f>SQRT((点群_9[[#This Row],[Xn2]]-点群_9[[#This Row],[直交点Ｘ]])^2+(点群_9[[#This Row],[Yn2]]-点群_9[[#This Row],[直交点Ｙ]])^2)</f>
        <v>23.09765843666219</v>
      </c>
      <c r="J11" s="11">
        <f>1/(傾き^2+1)*(点群_9[[#This Row],[Xn2]]+傾き^2*AX+傾き*(点群_9[[#This Row],[Yn2]]-AY))</f>
        <v>20.586060868580716</v>
      </c>
      <c r="K11" s="11">
        <f>1/(傾き^2+1)*(AY+傾き^2*点群_9[[#This Row],[Yn2]]+傾き*(点群_9[[#This Row],[Xn2]]-AX))</f>
        <v>9.2057796760072055</v>
      </c>
    </row>
    <row r="12" spans="1:11" x14ac:dyDescent="0.4">
      <c r="A12" s="3" t="s">
        <v>28</v>
      </c>
      <c r="C12" s="3">
        <v>894</v>
      </c>
      <c r="D12" s="3">
        <v>1350</v>
      </c>
      <c r="E12" s="6">
        <f>点群_9[[#This Row],[xn]]*縮尺</f>
        <v>21.376091973539143</v>
      </c>
      <c r="F12" s="6">
        <f>点群_9[[#This Row],[yn]]*縮尺</f>
        <v>32.279333517089306</v>
      </c>
      <c r="G12" s="6">
        <f ca="1">IF(点群[[#This Row],[点]]="ダミー",0,OFFSET(F12,-1,0)-OFFSET(F12,1,0))</f>
        <v>23.09765642778391</v>
      </c>
      <c r="H12" s="6">
        <f ca="1">IF(点群_9[[#This Row],[点]]="ダミー",0,点群_9[[#This Row],[Xn2]]*点群_9[[#This Row],[Yn+1-Yn-1]])</f>
        <v>493.73762817351644</v>
      </c>
      <c r="I12" s="11">
        <f>SQRT((点群_9[[#This Row],[Xn2]]-点群_9[[#This Row],[直交点Ｘ]])^2+(点群_9[[#This Row],[Yn2]]-点群_9[[#This Row],[直交点Ｙ]])^2)</f>
        <v>23.070122260151187</v>
      </c>
      <c r="J12" s="11">
        <f>1/(傾き^2+1)*(点群_9[[#This Row],[Xn2]]+傾き^2*AX+傾き*(点群_9[[#This Row],[Yn2]]-AY))</f>
        <v>21.470640860888508</v>
      </c>
      <c r="K12" s="11">
        <f>1/(傾き^2+1)*(AY+傾き^2*点群_9[[#This Row],[Yn2]]+傾き*(点群_9[[#This Row],[Xn2]]-AX))</f>
        <v>9.2094050038445321</v>
      </c>
    </row>
    <row r="13" spans="1:11" x14ac:dyDescent="0.4">
      <c r="A13" s="3" t="s">
        <v>29</v>
      </c>
      <c r="B13" t="s">
        <v>34</v>
      </c>
      <c r="C13" s="3">
        <v>859</v>
      </c>
      <c r="D13" s="3">
        <v>385</v>
      </c>
      <c r="E13" s="6">
        <f>点群_9[[#This Row],[xn]]*縮尺</f>
        <v>20.539220363836826</v>
      </c>
      <c r="F13" s="6">
        <f>点群_9[[#This Row],[yn]]*縮尺</f>
        <v>9.2055877067254688</v>
      </c>
      <c r="G13" s="6">
        <f ca="1">IF(点群[[#This Row],[点]]="ダミー",0,OFFSET(F13,-1,0)-OFFSET(F13,1,0))</f>
        <v>23.121567045203967</v>
      </c>
      <c r="H13" s="6">
        <f ca="1">IF(点群_9[[#This Row],[点]]="ダミー",0,点群_9[[#This Row],[Xn2]]*点群_9[[#This Row],[Yn+1-Yn-1]])</f>
        <v>474.89896069867177</v>
      </c>
      <c r="I13" s="11">
        <f>SQRT((点群_9[[#This Row],[Xn2]]-点群_9[[#This Row],[直交点Ｘ]])^2+(点群_9[[#This Row],[Yn2]]-点群_9[[#This Row],[直交点Ｙ]])^2)</f>
        <v>1.7763568394002505E-15</v>
      </c>
      <c r="J13" s="11">
        <f>1/(傾き^2+1)*(点群_9[[#This Row],[Xn2]]+傾き^2*AX+傾き*(点群_9[[#This Row],[Yn2]]-AY))</f>
        <v>20.539220363836826</v>
      </c>
      <c r="K13" s="11">
        <f>1/(傾き^2+1)*(AY+傾き^2*点群_9[[#This Row],[Yn2]]+傾き*(点群_9[[#This Row],[Xn2]]-AX))</f>
        <v>9.205587706725467</v>
      </c>
    </row>
    <row r="14" spans="1:11" x14ac:dyDescent="0.4">
      <c r="A14" s="1" t="s">
        <v>31</v>
      </c>
      <c r="B14" s="1" t="s">
        <v>36</v>
      </c>
      <c r="C14" cm="1">
        <f t="array" ref="C14">最初Ｘ</f>
        <v>371</v>
      </c>
      <c r="D14">
        <f>最初Ｙ</f>
        <v>383</v>
      </c>
      <c r="E14" s="6">
        <f>点群_9[[#This Row],[xn]]*縮尺</f>
        <v>8.8708390628445439</v>
      </c>
      <c r="F14" s="6">
        <f>点群_9[[#This Row],[yn]]*縮尺</f>
        <v>9.1577664718853367</v>
      </c>
      <c r="G14" s="6">
        <f ca="1">IF(点群[[#This Row],[点]]="ダミー",0,OFFSET(F14,-1,0)-OFFSET(F14,1,0))</f>
        <v>0</v>
      </c>
      <c r="H14" s="6">
        <f>IF(点群_9[[#This Row],[点]]="ダミー",0,点群_9[[#This Row],[Xn2]]*点群_9[[#This Row],[Yn+1-Yn-1]])</f>
        <v>0</v>
      </c>
      <c r="I14" s="11">
        <f>SQRT((点群_9[[#This Row],[Xn2]]-点群_9[[#This Row],[直交点Ｘ]])^2+(点群_9[[#This Row],[Yn2]]-点群_9[[#This Row],[直交点Ｙ]])^2)</f>
        <v>2.5121479338940403E-15</v>
      </c>
      <c r="J14" s="11">
        <f>1/(傾き^2+1)*(点群_9[[#This Row],[Xn2]]+傾き^2*AX+傾き*(点群_9[[#This Row],[Yn2]]-AY))</f>
        <v>8.8708390628445422</v>
      </c>
      <c r="K14" s="11">
        <f>1/(傾き^2+1)*(AY+傾き^2*点群_9[[#This Row],[Yn2]]+傾き*(点群_9[[#This Row],[Xn2]]-AX))</f>
        <v>9.1577664718853349</v>
      </c>
    </row>
    <row r="15" spans="1:11" x14ac:dyDescent="0.4">
      <c r="A15" t="s">
        <v>30</v>
      </c>
      <c r="H15" s="6">
        <f ca="1">SUBTOTAL(109,点群_9[Xn*(Yn+1-Yn-1)])</f>
        <v>618.75054758064903</v>
      </c>
      <c r="I15" s="6">
        <f>SUBTOTAL(104,点群_9[奥行距離])</f>
        <v>26.082442779539729</v>
      </c>
      <c r="J15" s="6">
        <f>SUBTOTAL(104,点群_9[直交点Ｘ])</f>
        <v>21.470640860888508</v>
      </c>
      <c r="K15" s="6">
        <f>SUBTOTAL(104,点群_9[直交点Ｙ])</f>
        <v>9.2094050038445321</v>
      </c>
    </row>
    <row r="16" spans="1:11" x14ac:dyDescent="0.4">
      <c r="I16" s="2" t="s">
        <v>62</v>
      </c>
      <c r="J16" s="6">
        <f>MAX(点群_9[直交点Ｘ])</f>
        <v>21.470640860888508</v>
      </c>
      <c r="K16" s="6">
        <f>MAX(点群_9[直交点Ｙ])</f>
        <v>9.2094050038445321</v>
      </c>
    </row>
    <row r="17" spans="1:11" x14ac:dyDescent="0.4">
      <c r="I17" s="2" t="s">
        <v>47</v>
      </c>
      <c r="J17" s="6">
        <f>MIN(点群_9[直交点Ｘ])</f>
        <v>8.8708390628445422</v>
      </c>
      <c r="K17" s="6">
        <f>MIN(点群_9[直交点Ｙ])</f>
        <v>9.1577664718853349</v>
      </c>
    </row>
    <row r="19" spans="1:11" x14ac:dyDescent="0.4">
      <c r="A19" t="s">
        <v>14</v>
      </c>
      <c r="B19">
        <f>IF(実際の距離=0,1,実際の距離/図上の距離)</f>
        <v>2.3910617420066154E-2</v>
      </c>
      <c r="D19" t="s">
        <v>54</v>
      </c>
    </row>
    <row r="20" spans="1:11" x14ac:dyDescent="0.4">
      <c r="B20" t="s">
        <v>17</v>
      </c>
      <c r="C20" s="7">
        <v>21.68693</v>
      </c>
      <c r="D20" t="s">
        <v>53</v>
      </c>
    </row>
    <row r="21" spans="1:11" x14ac:dyDescent="0.4">
      <c r="B21" t="s">
        <v>18</v>
      </c>
      <c r="C21">
        <f>SQRT((C24-C23)^2+(D24-D23)^2)</f>
        <v>907</v>
      </c>
    </row>
    <row r="22" spans="1:11" x14ac:dyDescent="0.4">
      <c r="B22" s="1" t="s">
        <v>9</v>
      </c>
      <c r="C22" s="1" t="s">
        <v>7</v>
      </c>
      <c r="D22" s="1" t="s">
        <v>8</v>
      </c>
      <c r="E22" s="1"/>
      <c r="F22" s="1"/>
    </row>
    <row r="23" spans="1:11" x14ac:dyDescent="0.4">
      <c r="A23" t="s">
        <v>15</v>
      </c>
      <c r="B23" s="7" t="s">
        <v>22</v>
      </c>
      <c r="C23">
        <f>VLOOKUP(B23,点群_9[],MATCH(点群_9[[#Headers],[xn]],点群_9[#Headers],0),0)</f>
        <v>371</v>
      </c>
      <c r="D23">
        <f>VLOOKUP(B23,点群_9[],MATCH(点群_9[[#Headers],[yn]],点群_9[#Headers],0),0)</f>
        <v>383</v>
      </c>
      <c r="E23" t="s">
        <v>52</v>
      </c>
    </row>
    <row r="24" spans="1:11" x14ac:dyDescent="0.4">
      <c r="A24" t="s">
        <v>16</v>
      </c>
      <c r="B24" s="7" t="s">
        <v>32</v>
      </c>
      <c r="C24">
        <f>VLOOKUP(B24,点群_9[],MATCH(点群_9[[#Headers],[xn]],点群_9[#Headers],0),0)</f>
        <v>371</v>
      </c>
      <c r="D24">
        <f>VLOOKUP(B24,点群_9[],MATCH(点群_9[[#Headers],[yn]],点群_9[#Headers],0),0)</f>
        <v>1290</v>
      </c>
      <c r="E24" t="s">
        <v>52</v>
      </c>
    </row>
    <row r="26" spans="1:11" x14ac:dyDescent="0.4">
      <c r="A26" s="4" t="s">
        <v>6</v>
      </c>
      <c r="B26" s="5">
        <f ca="1">ABS(点群_9[[#Totals],[Xn*(Yn+1-Yn-1)]]/2)</f>
        <v>309.37527379032451</v>
      </c>
      <c r="C26" t="s">
        <v>57</v>
      </c>
    </row>
    <row r="28" spans="1:11" x14ac:dyDescent="0.4">
      <c r="A28" s="4" t="s">
        <v>4</v>
      </c>
    </row>
    <row r="29" spans="1:11" x14ac:dyDescent="0.4">
      <c r="B29" s="4" t="s">
        <v>5</v>
      </c>
      <c r="C29" s="4">
        <f>SQRT((C35-C34)^2+(D35-D34)^2)</f>
        <v>11.668479294914484</v>
      </c>
    </row>
    <row r="30" spans="1:11" x14ac:dyDescent="0.4">
      <c r="B30" t="s">
        <v>2</v>
      </c>
      <c r="C30">
        <f>(D35-D34)/(C35-C34)</f>
        <v>4.0983606557376895E-3</v>
      </c>
    </row>
    <row r="31" spans="1:11" x14ac:dyDescent="0.4">
      <c r="B31" t="s">
        <v>42</v>
      </c>
      <c r="C31">
        <f>C34</f>
        <v>8.8708390628445439</v>
      </c>
    </row>
    <row r="32" spans="1:11" x14ac:dyDescent="0.4">
      <c r="B32" t="s">
        <v>43</v>
      </c>
      <c r="C32">
        <f>D34</f>
        <v>9.1577664718853367</v>
      </c>
    </row>
    <row r="33" spans="1:6" x14ac:dyDescent="0.4">
      <c r="B33" s="1" t="s">
        <v>9</v>
      </c>
      <c r="C33" s="1" t="s">
        <v>0</v>
      </c>
      <c r="D33" s="1" t="s">
        <v>1</v>
      </c>
      <c r="E33" s="1"/>
      <c r="F33" s="1"/>
    </row>
    <row r="34" spans="1:6" x14ac:dyDescent="0.4">
      <c r="A34" t="s">
        <v>12</v>
      </c>
      <c r="B34" s="3" t="s">
        <v>22</v>
      </c>
      <c r="C34">
        <f>VLOOKUP(B34,点群_9[],MATCH(点群_9[[#Headers],[Xn2]],点群_9[#Headers],0),0)</f>
        <v>8.8708390628445439</v>
      </c>
      <c r="D34">
        <f>VLOOKUP(B34,点群_9[],MATCH(点群_9[[#Headers],[Yn2]],点群_9[#Headers],0),0)</f>
        <v>9.1577664718853367</v>
      </c>
      <c r="E34" t="s">
        <v>50</v>
      </c>
    </row>
    <row r="35" spans="1:6" x14ac:dyDescent="0.4">
      <c r="A35" t="s">
        <v>13</v>
      </c>
      <c r="B35" s="3" t="s">
        <v>41</v>
      </c>
      <c r="C35">
        <f>VLOOKUP(B35,点群_9[],MATCH(点群_9[[#Headers],[Xn2]],点群_9[#Headers],0),0)</f>
        <v>20.539220363836826</v>
      </c>
      <c r="D35">
        <f>VLOOKUP(B35,点群_9[],MATCH(点群_9[[#Headers],[Yn2]],点群_9[#Headers],0),0)</f>
        <v>9.2055877067254688</v>
      </c>
      <c r="E35" t="s">
        <v>51</v>
      </c>
    </row>
    <row r="37" spans="1:6" x14ac:dyDescent="0.4">
      <c r="A37" s="4" t="s">
        <v>3</v>
      </c>
      <c r="B37" s="4">
        <f>点群_9[[#Totals],[奥行距離]]</f>
        <v>26.082442779539729</v>
      </c>
    </row>
    <row r="39" spans="1:6" x14ac:dyDescent="0.4">
      <c r="A39" s="4" t="s">
        <v>21</v>
      </c>
    </row>
    <row r="40" spans="1:6" x14ac:dyDescent="0.4">
      <c r="B40" s="4" t="s">
        <v>5</v>
      </c>
      <c r="C40" s="4">
        <f>SQRT((C44-C43)^2+(D44-D43)^2)</f>
        <v>12.599907614263481</v>
      </c>
    </row>
    <row r="41" spans="1:6" x14ac:dyDescent="0.4">
      <c r="B41" s="4" t="s">
        <v>3</v>
      </c>
      <c r="C41" s="4">
        <f>奥行距離</f>
        <v>26.082442779539729</v>
      </c>
    </row>
    <row r="42" spans="1:6" x14ac:dyDescent="0.4">
      <c r="B42" s="1" t="s">
        <v>9</v>
      </c>
      <c r="C42" s="1" t="s">
        <v>0</v>
      </c>
      <c r="D42" s="1" t="s">
        <v>1</v>
      </c>
      <c r="E42" s="1"/>
      <c r="F42" s="1"/>
    </row>
    <row r="43" spans="1:6" x14ac:dyDescent="0.4">
      <c r="A43" t="s">
        <v>19</v>
      </c>
      <c r="B43" s="8" t="str">
        <f>IF(直交点のＸ最大&lt;&gt;直交点のＸ最小,INDEX(点群_9[点],MATCH(直交点のＸ最小,点群_9[直交点Ｘ],0),1),INDEX(点群_9[点],MATCH(直交点のＹ最小,点群_9[直交点Ｙ],0),1))</f>
        <v>P1</v>
      </c>
      <c r="C43">
        <f>VLOOKUP(B43,点群_9[],MATCH(点群_9[[#Headers],[直交点Ｘ]],点群_9[#Headers],0),0)</f>
        <v>8.8708390628445422</v>
      </c>
      <c r="D43">
        <f>VLOOKUP(B43,点群_9[],MATCH(点群_9[[#Headers],[直交点Ｙ]],点群_9[#Headers],0),0)</f>
        <v>9.1577664718853349</v>
      </c>
      <c r="E43" t="s">
        <v>48</v>
      </c>
    </row>
    <row r="44" spans="1:6" x14ac:dyDescent="0.4">
      <c r="A44" t="s">
        <v>20</v>
      </c>
      <c r="B44" s="8" t="str">
        <f>IF(直交点のＸ最大&lt;&gt;直交点のＸ最小,INDEX(点群_9[点],MATCH(直交点のＸ最大,点群_9[直交点Ｘ],0),1),INDEX(点群_9[点],MATCH(直交点のＹ最大,点群_9[直交点Ｙ],0),1))</f>
        <v>P7</v>
      </c>
      <c r="C44">
        <f>VLOOKUP(B44,点群_9[],MATCH(点群_9[[#Headers],[直交点Ｘ]],点群_9[#Headers],0),0)</f>
        <v>21.470640860888508</v>
      </c>
      <c r="D44">
        <f>VLOOKUP(B44,点群_9[],MATCH(点群_9[[#Headers],[直交点Ｙ]],点群_9[#Headers],0),0)</f>
        <v>9.2094050038445321</v>
      </c>
      <c r="E44" t="s">
        <v>49</v>
      </c>
    </row>
  </sheetData>
  <phoneticPr fontId="2"/>
  <pageMargins left="0.7" right="0.7" top="0.75" bottom="0.75" header="0.3" footer="0.3"/>
  <pageSetup paperSize="9" scale="7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0C2C-91BB-45B0-AE3B-60CD511D2B41}">
  <sheetPr>
    <pageSetUpPr fitToPage="1"/>
  </sheetPr>
  <dimension ref="A1:K54"/>
  <sheetViews>
    <sheetView topLeftCell="A19" workbookViewId="0">
      <selection activeCell="H37" sqref="H37"/>
    </sheetView>
  </sheetViews>
  <sheetFormatPr defaultRowHeight="18.75" x14ac:dyDescent="0.4"/>
  <cols>
    <col min="2" max="2" width="12.375" customWidth="1"/>
    <col min="3" max="3" width="12.625" customWidth="1"/>
    <col min="4" max="4" width="13.25" customWidth="1"/>
    <col min="5" max="6" width="13.625" customWidth="1"/>
    <col min="7" max="7" width="10.125" customWidth="1"/>
    <col min="8" max="8" width="13.125" customWidth="1"/>
    <col min="9" max="9" width="10.125" customWidth="1"/>
    <col min="10" max="10" width="14.625" bestFit="1" customWidth="1"/>
    <col min="11" max="11" width="13.375" bestFit="1" customWidth="1"/>
  </cols>
  <sheetData>
    <row r="1" spans="1:11" x14ac:dyDescent="0.4">
      <c r="A1" s="4" t="s">
        <v>58</v>
      </c>
    </row>
    <row r="2" spans="1:11" x14ac:dyDescent="0.4">
      <c r="A2" s="4"/>
    </row>
    <row r="3" spans="1:11" x14ac:dyDescent="0.4">
      <c r="A3" t="s">
        <v>55</v>
      </c>
    </row>
    <row r="4" spans="1:11" x14ac:dyDescent="0.4">
      <c r="A4" s="1" t="s">
        <v>9</v>
      </c>
      <c r="B4" s="1" t="s">
        <v>56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10</v>
      </c>
      <c r="H4" s="1" t="s">
        <v>11</v>
      </c>
      <c r="I4" s="1" t="s">
        <v>3</v>
      </c>
      <c r="J4" s="1" t="s">
        <v>44</v>
      </c>
      <c r="K4" s="1" t="s">
        <v>45</v>
      </c>
    </row>
    <row r="5" spans="1:11" x14ac:dyDescent="0.4">
      <c r="A5" s="1" t="s">
        <v>31</v>
      </c>
      <c r="B5" s="1" t="s">
        <v>35</v>
      </c>
      <c r="C5" s="6">
        <f>最後Ｘ</f>
        <v>-125143.96</v>
      </c>
      <c r="D5" s="6">
        <f>最後Ｙ</f>
        <v>-31047.111000000001</v>
      </c>
      <c r="E5" s="6">
        <f>点群_3[[#This Row],[xn]]*縮尺</f>
        <v>-125143.96</v>
      </c>
      <c r="F5" s="6">
        <f>点群_3[[#This Row],[yn]]*縮尺</f>
        <v>-31047.111000000001</v>
      </c>
      <c r="G5" s="9">
        <f ca="1">IF(点群_3[[#This Row],[点]]="ダミー",0,OFFSET(F5,-1,0)-OFFSET(F5,1,0))</f>
        <v>0</v>
      </c>
      <c r="H5" s="9">
        <f>IF(点群_3[[#This Row],[点]]="ダミー",0,点群_3[[#This Row],[Xn2]]*点群_3[[#This Row],[Yn+1-Yn-1]])</f>
        <v>0</v>
      </c>
      <c r="I5" s="9">
        <f>SQRT((点群_3[[#This Row],[Xn2]]-点群_3[[#This Row],[直交点Ｘ]])^2+(点群_3[[#This Row],[Yn2]]-点群_3[[#This Row],[直交点Ｙ]])^2)</f>
        <v>15.56709224917528</v>
      </c>
      <c r="J5" s="6">
        <f>1/(傾き^2+1)*(点群_3[[#This Row],[Xn2]]+傾き^2*AX+傾き*(点群_3[[#This Row],[Yn2]]-AY))</f>
        <v>-125130.10487706338</v>
      </c>
      <c r="K5" s="6">
        <f>1/(傾き^2+1)*(AY+傾き^2*点群_3[[#This Row],[Yn2]]+傾き*(点群_3[[#This Row],[Xn2]]-AX))</f>
        <v>-31054.208177573182</v>
      </c>
    </row>
    <row r="6" spans="1:11" x14ac:dyDescent="0.4">
      <c r="A6" s="3" t="s">
        <v>68</v>
      </c>
      <c r="B6" t="s">
        <v>33</v>
      </c>
      <c r="C6" s="12">
        <v>-125141.754</v>
      </c>
      <c r="D6" s="12">
        <v>-31048.163</v>
      </c>
      <c r="E6" s="6">
        <f>点群_3[[#This Row],[xn]]*縮尺</f>
        <v>-125141.754</v>
      </c>
      <c r="F6" s="6">
        <f>点群_3[[#This Row],[yn]]*縮尺</f>
        <v>-31048.163</v>
      </c>
      <c r="G6" s="6">
        <f ca="1">IF(点群_3[[#This Row],[点]]="ダミー",0,OFFSET(F6,-1,0)-OFFSET(F6,1,0))</f>
        <v>2.0859999999993306</v>
      </c>
      <c r="H6" s="6">
        <f ca="1">IF(点群_3[[#This Row],[点]]="ダミー",0,点群_3[[#This Row],[Xn2]]*点群_3[[#This Row],[Yn+1-Yn-1]])</f>
        <v>-261045.69884391624</v>
      </c>
      <c r="I6" s="6">
        <f>SQRT((点群_3[[#This Row],[Xn2]]-点群_3[[#This Row],[直交点Ｘ]])^2+(点群_3[[#This Row],[Yn2]]-点群_3[[#This Row],[直交点Ｙ]])^2)</f>
        <v>13.124077754437479</v>
      </c>
      <c r="J6" s="6">
        <f>1/(傾き^2+1)*(点群_3[[#This Row],[Xn2]]+傾き^2*AX+傾き*(点群_3[[#This Row],[Yn2]]-AY))</f>
        <v>-125130.07322443787</v>
      </c>
      <c r="K6" s="6">
        <f>1/(傾き^2+1)*(AY+傾き^2*点群_3[[#This Row],[Yn2]]+傾き*(点群_3[[#This Row],[Xn2]]-AX))</f>
        <v>-31054.146385260181</v>
      </c>
    </row>
    <row r="7" spans="1:11" x14ac:dyDescent="0.4">
      <c r="A7" s="3" t="s">
        <v>69</v>
      </c>
      <c r="C7" s="12">
        <v>-125139.546</v>
      </c>
      <c r="D7" s="12">
        <v>-31049.197</v>
      </c>
      <c r="E7" s="6">
        <f>点群_3[[#This Row],[xn]]*縮尺</f>
        <v>-125139.546</v>
      </c>
      <c r="F7" s="6">
        <f>点群_3[[#This Row],[yn]]*縮尺</f>
        <v>-31049.197</v>
      </c>
      <c r="G7" s="6">
        <f ca="1">IF(点群_3[[#This Row],[点]]="ダミー",0,OFFSET(F7,-1,0)-OFFSET(F7,1,0))</f>
        <v>2.0580000000009022</v>
      </c>
      <c r="H7" s="6">
        <f ca="1">IF(点群_3[[#This Row],[点]]="ダミー",0,点群_3[[#This Row],[Xn2]]*点群_3[[#This Row],[Yn+1-Yn-1]])</f>
        <v>-257537.18566811291</v>
      </c>
      <c r="I7" s="6">
        <f>SQRT((点群_3[[#This Row],[Xn2]]-点群_3[[#This Row],[直交点Ｘ]])^2+(点群_3[[#This Row],[Yn2]]-点群_3[[#This Row],[直交点Ｙ]])^2)</f>
        <v>10.68748956908075</v>
      </c>
      <c r="J7" s="6">
        <f>1/(傾き^2+1)*(点群_3[[#This Row],[Xn2]]+傾き^2*AX+傾き*(点群_3[[#This Row],[Yn2]]-AY))</f>
        <v>-125130.03385222743</v>
      </c>
      <c r="K7" s="6">
        <f>1/(傾き^2+1)*(AY+傾き^2*点群_3[[#This Row],[Yn2]]+傾き*(点群_3[[#This Row],[Xn2]]-AX))</f>
        <v>-31054.069522759502</v>
      </c>
    </row>
    <row r="8" spans="1:11" x14ac:dyDescent="0.4">
      <c r="A8" s="3" t="s">
        <v>70</v>
      </c>
      <c r="C8" s="12">
        <v>-125137.32799999999</v>
      </c>
      <c r="D8" s="12">
        <v>-31050.221000000001</v>
      </c>
      <c r="E8" s="6">
        <f>点群_3[[#This Row],[xn]]*縮尺</f>
        <v>-125137.32799999999</v>
      </c>
      <c r="F8" s="6">
        <f>点群_3[[#This Row],[yn]]*縮尺</f>
        <v>-31050.221000000001</v>
      </c>
      <c r="G8" s="6">
        <f ca="1">IF(点群_3[[#This Row],[点]]="ダミー",0,OFFSET(F8,-1,0)-OFFSET(F8,1,0))</f>
        <v>2.0299999999988358</v>
      </c>
      <c r="H8" s="6">
        <f ca="1">IF(点群_3[[#This Row],[点]]="ダミー",0,点群_3[[#This Row],[Xn2]]*点群_3[[#This Row],[Yn+1-Yn-1]])</f>
        <v>-254028.77583985432</v>
      </c>
      <c r="I8" s="6">
        <f>SQRT((点群_3[[#This Row],[Xn2]]-点群_3[[#This Row],[直交点Ｘ]])^2+(点群_3[[#This Row],[Yn2]]-点群_3[[#This Row],[直交点Ｙ]])^2)</f>
        <v>8.2465602098765913</v>
      </c>
      <c r="J8" s="6">
        <f>1/(傾き^2+1)*(点群_3[[#This Row],[Xn2]]+傾き^2*AX+傾き*(点群_3[[#This Row],[Yn2]]-AY))</f>
        <v>-125129.98834377626</v>
      </c>
      <c r="K8" s="6">
        <f>1/(傾き^2+1)*(AY+傾き^2*点群_3[[#This Row],[Yn2]]+傾き*(点群_3[[#This Row],[Xn2]]-AX))</f>
        <v>-31053.98068107857</v>
      </c>
    </row>
    <row r="9" spans="1:11" x14ac:dyDescent="0.4">
      <c r="A9" s="3" t="s">
        <v>71</v>
      </c>
      <c r="C9" s="12">
        <v>-125135.105</v>
      </c>
      <c r="D9" s="12">
        <v>-31051.226999999999</v>
      </c>
      <c r="E9" s="6">
        <f>点群_3[[#This Row],[xn]]*縮尺</f>
        <v>-125135.105</v>
      </c>
      <c r="F9" s="6">
        <f>点群_3[[#This Row],[yn]]*縮尺</f>
        <v>-31051.226999999999</v>
      </c>
      <c r="G9" s="6">
        <f ca="1">IF(点群_3[[#This Row],[点]]="ダミー",0,OFFSET(F9,-1,0)-OFFSET(F9,1,0))</f>
        <v>8.5379999999968277</v>
      </c>
      <c r="H9" s="6">
        <f ca="1">IF(点群_3[[#This Row],[点]]="ダミー",0,点群_3[[#This Row],[Xn2]]*点群_3[[#This Row],[Yn+1-Yn-1]])</f>
        <v>-1068403.5264896031</v>
      </c>
      <c r="I9" s="6">
        <f>SQRT((点群_3[[#This Row],[Xn2]]-点群_3[[#This Row],[直交点Ｘ]])^2+(点群_3[[#This Row],[Yn2]]-点群_3[[#This Row],[直交点Ｙ]])^2)</f>
        <v>5.8093870808681451</v>
      </c>
      <c r="J9" s="6">
        <f>1/(傾き^2+1)*(点群_3[[#This Row],[Xn2]]+傾き^2*AX+傾き*(点群_3[[#This Row],[Yn2]]-AY))</f>
        <v>-125129.9344921811</v>
      </c>
      <c r="K9" s="6">
        <f>1/(傾き^2+1)*(AY+傾き^2*点群_3[[#This Row],[Yn2]]+傾き*(点群_3[[#This Row],[Xn2]]-AX))</f>
        <v>-31053.875551896806</v>
      </c>
    </row>
    <row r="10" spans="1:11" x14ac:dyDescent="0.4">
      <c r="A10" s="3" t="s">
        <v>72</v>
      </c>
      <c r="C10" s="12">
        <v>-125132.436</v>
      </c>
      <c r="D10" s="12">
        <v>-31058.758999999998</v>
      </c>
      <c r="E10" s="6">
        <f>点群_3[[#This Row],[xn]]*縮尺</f>
        <v>-125132.436</v>
      </c>
      <c r="F10" s="6">
        <f>点群_3[[#This Row],[yn]]*縮尺</f>
        <v>-31058.758999999998</v>
      </c>
      <c r="G10" s="6">
        <f ca="1">IF(点群_3[[#This Row],[点]]="ダミー",0,OFFSET(F10,-1,0)-OFFSET(F10,1,0))</f>
        <v>15.097000000001572</v>
      </c>
      <c r="H10" s="6">
        <f ca="1">IF(点群_3[[#This Row],[点]]="ダミー",0,点群_3[[#This Row],[Xn2]]*点群_3[[#This Row],[Yn+1-Yn-1]])</f>
        <v>-1889124.3862921966</v>
      </c>
      <c r="I10" s="6">
        <f>SQRT((点群_3[[#This Row],[Xn2]]-点群_3[[#This Row],[直交点Ｘ]])^2+(点群_3[[#This Row],[Yn2]]-点群_3[[#This Row],[直交点Ｙ]])^2)</f>
        <v>0</v>
      </c>
      <c r="J10" s="6">
        <f>1/(傾き^2+1)*(点群_3[[#This Row],[Xn2]]+傾き^2*AX+傾き*(点群_3[[#This Row],[Yn2]]-AY))</f>
        <v>-125132.436</v>
      </c>
      <c r="K10" s="6">
        <f>1/(傾き^2+1)*(AY+傾き^2*点群_3[[#This Row],[Yn2]]+傾き*(点群_3[[#This Row],[Xn2]]-AX))</f>
        <v>-31058.758999999998</v>
      </c>
    </row>
    <row r="11" spans="1:11" x14ac:dyDescent="0.4">
      <c r="A11" s="3" t="s">
        <v>73</v>
      </c>
      <c r="C11" s="12">
        <v>-125136.323</v>
      </c>
      <c r="D11" s="12">
        <v>-31066.324000000001</v>
      </c>
      <c r="E11" s="6">
        <f>点群_3[[#This Row],[xn]]*縮尺</f>
        <v>-125136.323</v>
      </c>
      <c r="F11" s="6">
        <f>点群_3[[#This Row],[yn]]*縮尺</f>
        <v>-31066.324000000001</v>
      </c>
      <c r="G11" s="6">
        <f ca="1">IF(点群_3[[#This Row],[点]]="ダミー",0,OFFSET(F11,-1,0)-OFFSET(F11,1,0))</f>
        <v>17.644000000000233</v>
      </c>
      <c r="H11" s="6">
        <f ca="1">IF(点群_3[[#This Row],[点]]="ダミー",0,点群_3[[#This Row],[Xn2]]*点群_3[[#This Row],[Yn+1-Yn-1]])</f>
        <v>-2207905.2830120292</v>
      </c>
      <c r="I11" s="6">
        <f>SQRT((点群_3[[#This Row],[Xn2]]-点群_3[[#This Row],[直交点Ｘ]])^2+(点群_3[[#This Row],[Yn2]]-点群_3[[#This Row],[直交点Ｙ]])^2)</f>
        <v>1.0580942861443711E-2</v>
      </c>
      <c r="J11" s="6">
        <f>1/(傾き^2+1)*(点群_3[[#This Row],[Xn2]]+傾き^2*AX+傾き*(点群_3[[#This Row],[Yn2]]-AY))</f>
        <v>-125136.31358268161</v>
      </c>
      <c r="K11" s="6">
        <f>1/(傾き^2+1)*(AY+傾き^2*点群_3[[#This Row],[Yn2]]+傾き*(点群_3[[#This Row],[Xn2]]-AX))</f>
        <v>-31066.328823947159</v>
      </c>
    </row>
    <row r="12" spans="1:11" x14ac:dyDescent="0.4">
      <c r="A12" s="3" t="s">
        <v>74</v>
      </c>
      <c r="C12" s="12">
        <v>-125141.474</v>
      </c>
      <c r="D12" s="12">
        <v>-31076.402999999998</v>
      </c>
      <c r="E12" s="6">
        <f>点群_3[[#This Row],[xn]]*縮尺</f>
        <v>-125141.474</v>
      </c>
      <c r="F12" s="6">
        <f>点群_3[[#This Row],[yn]]*縮尺</f>
        <v>-31076.402999999998</v>
      </c>
      <c r="G12" s="6">
        <f ca="1">IF(点群_3[[#This Row],[点]]="ダミー",0,OFFSET(F12,-1,0)-OFFSET(F12,1,0))</f>
        <v>-3.8140000000021246</v>
      </c>
      <c r="H12" s="6">
        <f ca="1">IF(点群_3[[#This Row],[点]]="ダミー",0,点群_3[[#This Row],[Xn2]]*点群_3[[#This Row],[Yn+1-Yn-1]])</f>
        <v>477289.58183626586</v>
      </c>
      <c r="I12" s="6">
        <f>SQRT((点群_3[[#This Row],[Xn2]]-点群_3[[#This Row],[直交点Ｘ]])^2+(点群_3[[#This Row],[Yn2]]-点群_3[[#This Row],[直交点Ｙ]])^2)</f>
        <v>2.9103830456733704E-11</v>
      </c>
      <c r="J12" s="6">
        <f>1/(傾き^2+1)*(点群_3[[#This Row],[Xn2]]+傾き^2*AX+傾き*(点群_3[[#This Row],[Yn2]]-AY))</f>
        <v>-125141.47400000003</v>
      </c>
      <c r="K12" s="6">
        <f>1/(傾き^2+1)*(AY+傾き^2*点群_3[[#This Row],[Yn2]]+傾き*(点群_3[[#This Row],[Xn2]]-AX))</f>
        <v>-31076.402999999998</v>
      </c>
    </row>
    <row r="13" spans="1:11" x14ac:dyDescent="0.4">
      <c r="A13" s="3" t="s">
        <v>75</v>
      </c>
      <c r="C13" s="12">
        <v>-125167.47500000001</v>
      </c>
      <c r="D13" s="12">
        <v>-31062.51</v>
      </c>
      <c r="E13" s="6">
        <f>点群_3[[#This Row],[xn]]*縮尺</f>
        <v>-125167.47500000001</v>
      </c>
      <c r="F13" s="6">
        <f>点群_3[[#This Row],[yn]]*縮尺</f>
        <v>-31062.51</v>
      </c>
      <c r="G13" s="6">
        <f ca="1">IF(点群_3[[#This Row],[点]]="ダミー",0,OFFSET(F13,-1,0)-OFFSET(F13,1,0))</f>
        <v>-15.751000000000204</v>
      </c>
      <c r="H13" s="6">
        <f ca="1">IF(点群_3[[#This Row],[点]]="ダミー",0,点群_3[[#This Row],[Xn2]]*点群_3[[#This Row],[Yn+1-Yn-1]])</f>
        <v>1971512.8987250256</v>
      </c>
      <c r="I13" s="6">
        <f>SQRT((点群_3[[#This Row],[Xn2]]-点群_3[[#This Row],[直交点Ｘ]])^2+(点群_3[[#This Row],[Yn2]]-点群_3[[#This Row],[直交点Ｙ]])^2)</f>
        <v>29.47552003643667</v>
      </c>
      <c r="J13" s="6">
        <f>1/(傾き^2+1)*(点群_3[[#This Row],[Xn2]]+傾き^2*AX+傾き*(点群_3[[#This Row],[Yn2]]-AY))</f>
        <v>-125141.24100927207</v>
      </c>
      <c r="K13" s="6">
        <f>1/(傾き^2+1)*(AY+傾き^2*点群_3[[#This Row],[Yn2]]+傾き*(点群_3[[#This Row],[Xn2]]-AX))</f>
        <v>-31075.948155078164</v>
      </c>
    </row>
    <row r="14" spans="1:11" x14ac:dyDescent="0.4">
      <c r="A14" s="3" t="s">
        <v>76</v>
      </c>
      <c r="C14" s="12">
        <v>-125166.527</v>
      </c>
      <c r="D14" s="12">
        <v>-31060.651999999998</v>
      </c>
      <c r="E14" s="6">
        <f>点群_3[[#This Row],[xn]]*縮尺</f>
        <v>-125166.527</v>
      </c>
      <c r="F14" s="6">
        <f>点群_3[[#This Row],[yn]]*縮尺</f>
        <v>-31060.651999999998</v>
      </c>
      <c r="G14" s="6">
        <f ca="1">IF(点群_3[[#This Row],[点]]="ダミー",0,OFFSET(F14,-1,0)-OFFSET(F14,1,0))</f>
        <v>-21.649999999997817</v>
      </c>
      <c r="H14" s="6">
        <f ca="1">IF(点群_3[[#This Row],[点]]="ダミー",0,点群_3[[#This Row],[Xn2]]*点群_3[[#This Row],[Yn+1-Yn-1]])</f>
        <v>2709855.309549727</v>
      </c>
      <c r="I14" s="6">
        <f>SQRT((点群_3[[#This Row],[Xn2]]-点群_3[[#This Row],[直交点Ｘ]])^2+(点群_3[[#This Row],[Yn2]]-点群_3[[#This Row],[直交点Ｙ]])^2)</f>
        <v>29.47885395300548</v>
      </c>
      <c r="J14" s="6">
        <f>1/(傾き^2+1)*(点群_3[[#This Row],[Xn2]]+傾き^2*AX+傾き*(点群_3[[#This Row],[Yn2]]-AY))</f>
        <v>-125140.29004199833</v>
      </c>
      <c r="K14" s="6">
        <f>1/(傾き^2+1)*(AY+傾き^2*点群_3[[#This Row],[Yn2]]+傾き*(点群_3[[#This Row],[Xn2]]-AX))</f>
        <v>-31074.091675040763</v>
      </c>
    </row>
    <row r="15" spans="1:11" x14ac:dyDescent="0.4">
      <c r="A15" s="3" t="s">
        <v>77</v>
      </c>
      <c r="C15" s="12">
        <v>-125156.425</v>
      </c>
      <c r="D15" s="12">
        <v>-31040.86</v>
      </c>
      <c r="E15" s="6">
        <f>点群_3[[#This Row],[xn]]*縮尺</f>
        <v>-125156.425</v>
      </c>
      <c r="F15" s="6">
        <f>点群_3[[#This Row],[yn]]*縮尺</f>
        <v>-31040.86</v>
      </c>
      <c r="G15" s="6">
        <f ca="1">IF(点群_3[[#This Row],[点]]="ダミー",0,OFFSET(F15,-1,0)-OFFSET(F15,1,0))</f>
        <v>-18.988999999997759</v>
      </c>
      <c r="H15" s="6">
        <f ca="1">IF(点群_3[[#This Row],[点]]="ダミー",0,点群_3[[#This Row],[Xn2]]*点群_3[[#This Row],[Yn+1-Yn-1]])</f>
        <v>2376595.3543247194</v>
      </c>
      <c r="I15" s="6">
        <f>SQRT((点群_3[[#This Row],[Xn2]]-点群_3[[#This Row],[直交点Ｘ]])^2+(点群_3[[#This Row],[Yn2]]-点群_3[[#This Row],[直交点Ｙ]])^2)</f>
        <v>29.511158420313723</v>
      </c>
      <c r="J15" s="6">
        <f>1/(傾き^2+1)*(点群_3[[#This Row],[Xn2]]+傾き^2*AX+傾き*(点群_3[[#This Row],[Yn2]]-AY))</f>
        <v>-125130.15929016988</v>
      </c>
      <c r="K15" s="6">
        <f>1/(傾き^2+1)*(AY+傾き^2*点群_3[[#This Row],[Yn2]]+傾き*(点群_3[[#This Row],[Xn2]]-AX))</f>
        <v>-31054.314402938384</v>
      </c>
    </row>
    <row r="16" spans="1:11" x14ac:dyDescent="0.4">
      <c r="A16" s="3" t="s">
        <v>78</v>
      </c>
      <c r="C16" s="12">
        <v>-125154.891</v>
      </c>
      <c r="D16" s="12">
        <v>-31041.663</v>
      </c>
      <c r="E16" s="6">
        <f>点群_3[[#This Row],[xn]]*縮尺</f>
        <v>-125154.891</v>
      </c>
      <c r="F16" s="6">
        <f>点群_3[[#This Row],[yn]]*縮尺</f>
        <v>-31041.663</v>
      </c>
      <c r="G16" s="6">
        <f ca="1">IF(点群_3[[#This Row],[点]]="ダミー",0,OFFSET(F16,-1,0)-OFFSET(F16,1,0))</f>
        <v>1.9209999999984575</v>
      </c>
      <c r="H16" s="6">
        <f ca="1">IF(点群_3[[#This Row],[点]]="ダミー",0,点群_3[[#This Row],[Xn2]]*点群_3[[#This Row],[Yn+1-Yn-1]])</f>
        <v>-240422.54561080696</v>
      </c>
      <c r="I16" s="6">
        <f>SQRT((点群_3[[#This Row],[Xn2]]-点群_3[[#This Row],[直交点Ｘ]])^2+(点群_3[[#This Row],[Yn2]]-点群_3[[#This Row],[直交点Ｙ]])^2)</f>
        <v>27.779763003340797</v>
      </c>
      <c r="J16" s="6">
        <f>1/(傾き^2+1)*(点群_3[[#This Row],[Xn2]]+傾き^2*AX+傾き*(点群_3[[#This Row],[Yn2]]-AY))</f>
        <v>-125130.16627778465</v>
      </c>
      <c r="K16" s="6">
        <f>1/(傾き^2+1)*(AY+傾き^2*点群_3[[#This Row],[Yn2]]+傾き*(点群_3[[#This Row],[Xn2]]-AX))</f>
        <v>-31054.32804417266</v>
      </c>
    </row>
    <row r="17" spans="1:11" x14ac:dyDescent="0.4">
      <c r="A17" s="3" t="s">
        <v>79</v>
      </c>
      <c r="C17" s="12">
        <v>-125152.713</v>
      </c>
      <c r="D17" s="12">
        <v>-31042.780999999999</v>
      </c>
      <c r="E17" s="6">
        <f>点群_3[[#This Row],[xn]]*縮尺</f>
        <v>-125152.713</v>
      </c>
      <c r="F17" s="6">
        <f>点群_3[[#This Row],[yn]]*縮尺</f>
        <v>-31042.780999999999</v>
      </c>
      <c r="G17" s="6">
        <f ca="1">IF(点群_3[[#This Row],[点]]="ダミー",0,OFFSET(F17,-1,0)-OFFSET(F17,1,0))</f>
        <v>2.2219999999979336</v>
      </c>
      <c r="H17" s="6">
        <f ca="1">IF(点群_3[[#This Row],[点]]="ダミー",0,点群_3[[#This Row],[Xn2]]*点群_3[[#This Row],[Yn+1-Yn-1]])</f>
        <v>-278089.32828574139</v>
      </c>
      <c r="I17" s="6">
        <f>SQRT((点群_3[[#This Row],[Xn2]]-点群_3[[#This Row],[直交点Ｘ]])^2+(点群_3[[#This Row],[Yn2]]-点群_3[[#This Row],[直交点Ｙ]])^2)</f>
        <v>25.331579253103406</v>
      </c>
      <c r="J17" s="6">
        <f>1/(傾き^2+1)*(点群_3[[#This Row],[Xn2]]+傾き^2*AX+傾き*(点群_3[[#This Row],[Yn2]]-AY))</f>
        <v>-125130.16722593296</v>
      </c>
      <c r="K17" s="6">
        <f>1/(傾き^2+1)*(AY+傾き^2*点群_3[[#This Row],[Yn2]]+傾き*(点群_3[[#This Row],[Xn2]]-AX))</f>
        <v>-31054.329895149505</v>
      </c>
    </row>
    <row r="18" spans="1:11" x14ac:dyDescent="0.4">
      <c r="A18" s="3" t="s">
        <v>80</v>
      </c>
      <c r="C18" s="12">
        <v>-125150.534</v>
      </c>
      <c r="D18" s="12">
        <v>-31043.884999999998</v>
      </c>
      <c r="E18" s="6">
        <f>点群_3[[#This Row],[xn]]*縮尺</f>
        <v>-125150.534</v>
      </c>
      <c r="F18" s="6">
        <f>点群_3[[#This Row],[yn]]*縮尺</f>
        <v>-31043.884999999998</v>
      </c>
      <c r="G18" s="6">
        <f ca="1">IF(点群_3[[#This Row],[点]]="ダミー",0,OFFSET(F18,-1,0)-OFFSET(F18,1,0))</f>
        <v>2.1920000000027358</v>
      </c>
      <c r="H18" s="6">
        <f ca="1">IF(点群_3[[#This Row],[点]]="ダミー",0,点群_3[[#This Row],[Xn2]]*点群_3[[#This Row],[Yn+1-Yn-1]])</f>
        <v>-274329.97052834235</v>
      </c>
      <c r="I18" s="6">
        <f>SQRT((点群_3[[#This Row],[Xn2]]-点群_3[[#This Row],[直交点Ｘ]])^2+(点群_3[[#This Row],[Yn2]]-点群_3[[#This Row],[直交点Ｙ]])^2)</f>
        <v>22.888888202578382</v>
      </c>
      <c r="J18" s="6">
        <f>1/(傾き^2+1)*(点群_3[[#This Row],[Xn2]]+傾き^2*AX+傾き*(点群_3[[#This Row],[Yn2]]-AY))</f>
        <v>-125130.16228543357</v>
      </c>
      <c r="K18" s="6">
        <f>1/(傾き^2+1)*(AY+傾き^2*点群_3[[#This Row],[Yn2]]+傾き*(点群_3[[#This Row],[Xn2]]-AX))</f>
        <v>-31054.320250297627</v>
      </c>
    </row>
    <row r="19" spans="1:11" x14ac:dyDescent="0.4">
      <c r="A19" s="3" t="s">
        <v>81</v>
      </c>
      <c r="C19" s="12">
        <v>-125148.351</v>
      </c>
      <c r="D19" s="12">
        <v>-31044.973000000002</v>
      </c>
      <c r="E19" s="6">
        <f>点群_3[[#This Row],[xn]]*縮尺</f>
        <v>-125148.351</v>
      </c>
      <c r="F19" s="6">
        <f>点群_3[[#This Row],[yn]]*縮尺</f>
        <v>-31044.973000000002</v>
      </c>
      <c r="G19" s="6">
        <f ca="1">IF(点群_3[[#This Row],[点]]="ダミー",0,OFFSET(F19,-1,0)-OFFSET(F19,1,0))</f>
        <v>2.1630000000004657</v>
      </c>
      <c r="H19" s="6">
        <f ca="1">IF(点群_3[[#This Row],[点]]="ダミー",0,点群_3[[#This Row],[Xn2]]*点群_3[[#This Row],[Yn+1-Yn-1]])</f>
        <v>-270695.88321305829</v>
      </c>
      <c r="I19" s="6">
        <f>SQRT((点群_3[[#This Row],[Xn2]]-点群_3[[#This Row],[直交点Ｘ]])^2+(点群_3[[#This Row],[Yn2]]-点群_3[[#This Row],[直交点Ｙ]])^2)</f>
        <v>20.44993159057907</v>
      </c>
      <c r="J19" s="6">
        <f>1/(傾き^2+1)*(点群_3[[#This Row],[Xn2]]+傾き^2*AX+傾き*(点群_3[[#This Row],[Yn2]]-AY))</f>
        <v>-125130.15002118534</v>
      </c>
      <c r="K19" s="6">
        <f>1/(傾き^2+1)*(AY+傾き^2*点群_3[[#This Row],[Yn2]]+傾き*(点群_3[[#This Row],[Xn2]]-AX))</f>
        <v>-31054.296308009925</v>
      </c>
    </row>
    <row r="20" spans="1:11" x14ac:dyDescent="0.4">
      <c r="A20" s="3" t="s">
        <v>82</v>
      </c>
      <c r="C20" s="12">
        <v>-125146.16099999999</v>
      </c>
      <c r="D20" s="12">
        <v>-31046.047999999999</v>
      </c>
      <c r="E20" s="6">
        <f>点群_3[[#This Row],[xn]]*縮尺</f>
        <v>-125146.16099999999</v>
      </c>
      <c r="F20" s="6">
        <f>点群_3[[#This Row],[yn]]*縮尺</f>
        <v>-31046.047999999999</v>
      </c>
      <c r="G20" s="6">
        <f ca="1">IF(点群_3[[#This Row],[点]]="ダミー",0,OFFSET(F20,-1,0)-OFFSET(F20,1,0))</f>
        <v>2.1379999999990105</v>
      </c>
      <c r="H20" s="6">
        <f ca="1">IF(点群_3[[#This Row],[点]]="ダミー",0,点群_3[[#This Row],[Xn2]]*点群_3[[#This Row],[Yn+1-Yn-1]])</f>
        <v>-267562.49221787613</v>
      </c>
      <c r="I20" s="6">
        <f>SQRT((点群_3[[#This Row],[Xn2]]-点群_3[[#This Row],[直交点Ｘ]])^2+(点群_3[[#This Row],[Yn2]]-点群_3[[#This Row],[直交点Ｙ]])^2)</f>
        <v>18.01067161099661</v>
      </c>
      <c r="J20" s="6">
        <f>1/(傾き^2+1)*(点群_3[[#This Row],[Xn2]]+傾き^2*AX+傾き*(点群_3[[#This Row],[Yn2]]-AY))</f>
        <v>-125130.13102694225</v>
      </c>
      <c r="K20" s="6">
        <f>1/(傾き^2+1)*(AY+傾き^2*点群_3[[#This Row],[Yn2]]+傾き*(点群_3[[#This Row],[Xn2]]-AX))</f>
        <v>-31054.259227414175</v>
      </c>
    </row>
    <row r="21" spans="1:11" x14ac:dyDescent="0.4">
      <c r="A21" s="3" t="s">
        <v>83</v>
      </c>
      <c r="B21" t="s">
        <v>34</v>
      </c>
      <c r="C21" s="12">
        <v>-125143.96</v>
      </c>
      <c r="D21" s="12">
        <v>-31047.111000000001</v>
      </c>
      <c r="E21" s="6">
        <f>点群_3[[#This Row],[xn]]*縮尺</f>
        <v>-125143.96</v>
      </c>
      <c r="F21" s="6">
        <f>点群_3[[#This Row],[yn]]*縮尺</f>
        <v>-31047.111000000001</v>
      </c>
      <c r="G21" s="6">
        <f ca="1">IF(点群_3[[#This Row],[点]]="ダミー",0,OFFSET(F21,-1,0)-OFFSET(F21,1,0))</f>
        <v>2.1150000000016007</v>
      </c>
      <c r="H21" s="6">
        <f ca="1">IF(点群_3[[#This Row],[点]]="ダミー",0,点群_3[[#This Row],[Xn2]]*点群_3[[#This Row],[Yn+1-Yn-1]])</f>
        <v>-264679.47540020035</v>
      </c>
      <c r="I21" s="6">
        <f>SQRT((点群_3[[#This Row],[Xn2]]-点群_3[[#This Row],[直交点Ｘ]])^2+(点群_3[[#This Row],[Yn2]]-点群_3[[#This Row],[直交点Ｙ]])^2)</f>
        <v>15.56709224917528</v>
      </c>
      <c r="J21" s="6">
        <f>1/(傾き^2+1)*(点群_3[[#This Row],[Xn2]]+傾き^2*AX+傾き*(点群_3[[#This Row],[Yn2]]-AY))</f>
        <v>-125130.10487706338</v>
      </c>
      <c r="K21" s="6">
        <f>1/(傾き^2+1)*(AY+傾き^2*点群_3[[#This Row],[Yn2]]+傾き*(点群_3[[#This Row],[Xn2]]-AX))</f>
        <v>-31054.208177573182</v>
      </c>
    </row>
    <row r="22" spans="1:11" x14ac:dyDescent="0.4">
      <c r="A22" s="1" t="s">
        <v>31</v>
      </c>
      <c r="B22" s="1" t="s">
        <v>36</v>
      </c>
      <c r="C22" s="6" cm="1">
        <f t="array" ref="C22">最初Ｘ</f>
        <v>-125141.754</v>
      </c>
      <c r="D22" s="6">
        <f>最初Ｙ</f>
        <v>-31048.163</v>
      </c>
      <c r="E22" s="6">
        <f>点群_3[[#This Row],[xn]]*縮尺</f>
        <v>-125141.754</v>
      </c>
      <c r="F22" s="6">
        <f>点群_3[[#This Row],[yn]]*縮尺</f>
        <v>-31048.163</v>
      </c>
      <c r="G22" s="6">
        <f ca="1">IF(点群_3[[#This Row],[点]]="ダミー",0,OFFSET(F22,-1,0)-OFFSET(F22,1,0))</f>
        <v>0</v>
      </c>
      <c r="H22" s="6">
        <f>IF(点群_3[[#This Row],[点]]="ダミー",0,点群_3[[#This Row],[Xn2]]*点群_3[[#This Row],[Yn+1-Yn-1]])</f>
        <v>0</v>
      </c>
      <c r="I22" s="6">
        <f>SQRT((点群_3[[#This Row],[Xn2]]-点群_3[[#This Row],[直交点Ｘ]])^2+(点群_3[[#This Row],[Yn2]]-点群_3[[#This Row],[直交点Ｙ]])^2)</f>
        <v>13.124077754437479</v>
      </c>
      <c r="J22" s="6">
        <f>1/(傾き^2+1)*(点群_3[[#This Row],[Xn2]]+傾き^2*AX+傾き*(点群_3[[#This Row],[Yn2]]-AY))</f>
        <v>-125130.07322443787</v>
      </c>
      <c r="K22" s="6">
        <f>1/(傾き^2+1)*(AY+傾き^2*点群_3[[#This Row],[Yn2]]+傾き*(点群_3[[#This Row],[Xn2]]-AX))</f>
        <v>-31054.146385260181</v>
      </c>
    </row>
    <row r="23" spans="1:11" x14ac:dyDescent="0.4">
      <c r="A23" t="s">
        <v>30</v>
      </c>
      <c r="H23" s="6">
        <f ca="1">SUBTOTAL(109,点群_3[Xn*(Yn+1-Yn-1)])</f>
        <v>1428.5930340002524</v>
      </c>
      <c r="I23" s="6">
        <f>SUBTOTAL(104,点群_3[奥行距離])</f>
        <v>29.511158420313723</v>
      </c>
      <c r="J23" s="6">
        <f>SUBTOTAL(104,点群_3[直交点Ｘ])</f>
        <v>-125129.9344921811</v>
      </c>
      <c r="K23" s="6">
        <f>SUBTOTAL(104,点群_3[直交点Ｙ])</f>
        <v>-31053.875551896806</v>
      </c>
    </row>
    <row r="24" spans="1:11" x14ac:dyDescent="0.4">
      <c r="H24" s="6"/>
      <c r="I24" s="9" t="s">
        <v>62</v>
      </c>
      <c r="J24" s="6">
        <f>MAX(点群_3[直交点Ｘ])</f>
        <v>-125129.9344921811</v>
      </c>
      <c r="K24" s="6">
        <f>MAX(点群_3[直交点Ｙ])</f>
        <v>-31053.875551896806</v>
      </c>
    </row>
    <row r="25" spans="1:11" x14ac:dyDescent="0.4">
      <c r="H25" s="6"/>
      <c r="I25" s="9" t="s">
        <v>47</v>
      </c>
      <c r="J25" s="6">
        <f>MIN(点群_3[直交点Ｘ])</f>
        <v>-125141.47400000003</v>
      </c>
      <c r="K25" s="6">
        <f>MIN(点群_3[直交点Ｙ])</f>
        <v>-31076.402999999998</v>
      </c>
    </row>
    <row r="27" spans="1:11" x14ac:dyDescent="0.4">
      <c r="A27" t="s">
        <v>14</v>
      </c>
      <c r="B27">
        <f>IF(実際の距離=0,1,実際の距離/図上の距離)</f>
        <v>1</v>
      </c>
      <c r="D27" t="s">
        <v>54</v>
      </c>
    </row>
    <row r="28" spans="1:11" x14ac:dyDescent="0.4">
      <c r="B28" t="s">
        <v>17</v>
      </c>
      <c r="C28" s="7">
        <v>0</v>
      </c>
      <c r="D28" t="s">
        <v>53</v>
      </c>
    </row>
    <row r="29" spans="1:11" x14ac:dyDescent="0.4">
      <c r="B29" t="s">
        <v>18</v>
      </c>
      <c r="C29" t="e">
        <f>SQRT((C32-C31)^2+(D32-D31)^2)</f>
        <v>#N/A</v>
      </c>
    </row>
    <row r="30" spans="1:11" x14ac:dyDescent="0.4">
      <c r="B30" s="1" t="s">
        <v>9</v>
      </c>
      <c r="C30" s="1" t="s">
        <v>7</v>
      </c>
      <c r="D30" s="1" t="s">
        <v>8</v>
      </c>
      <c r="E30" s="1"/>
      <c r="F30" s="1"/>
    </row>
    <row r="31" spans="1:11" x14ac:dyDescent="0.4">
      <c r="A31" t="s">
        <v>15</v>
      </c>
      <c r="B31" s="7" t="s">
        <v>22</v>
      </c>
      <c r="C31" t="e">
        <f>VLOOKUP(B31,点群_3[],MATCH(点群_3[[#Headers],[xn]],点群_3[#Headers],0),0)</f>
        <v>#N/A</v>
      </c>
      <c r="D31" t="e">
        <f>VLOOKUP(B31,点群_3[],MATCH(点群_3[[#Headers],[yn]],点群_3[#Headers],0),0)</f>
        <v>#N/A</v>
      </c>
      <c r="E31" t="s">
        <v>52</v>
      </c>
    </row>
    <row r="32" spans="1:11" x14ac:dyDescent="0.4">
      <c r="A32" t="s">
        <v>16</v>
      </c>
      <c r="B32" s="7" t="s">
        <v>32</v>
      </c>
      <c r="C32" t="e">
        <f>VLOOKUP(B32,点群_3[],MATCH(点群_3[[#Headers],[xn]],点群_3[#Headers],0),0)</f>
        <v>#N/A</v>
      </c>
      <c r="D32" t="e">
        <f>VLOOKUP(B32,点群_3[],MATCH(点群_3[[#Headers],[yn]],点群_3[#Headers],0),0)</f>
        <v>#N/A</v>
      </c>
      <c r="E32" t="s">
        <v>52</v>
      </c>
    </row>
    <row r="34" spans="1:10" x14ac:dyDescent="0.4">
      <c r="A34" s="4" t="s">
        <v>6</v>
      </c>
      <c r="B34" s="5">
        <f ca="1">ABS(点群_3[[#Totals],[Xn*(Yn+1-Yn-1)]]/2)</f>
        <v>714.29651700012619</v>
      </c>
      <c r="C34" t="s">
        <v>57</v>
      </c>
    </row>
    <row r="36" spans="1:10" x14ac:dyDescent="0.4">
      <c r="A36" s="4" t="s">
        <v>4</v>
      </c>
    </row>
    <row r="37" spans="1:10" x14ac:dyDescent="0.4">
      <c r="B37" s="4" t="s">
        <v>5</v>
      </c>
      <c r="C37" s="4">
        <f>SQRT((C43-C42)^2+(D43-D42)^2)</f>
        <v>19.824131254610293</v>
      </c>
      <c r="E37" t="s">
        <v>64</v>
      </c>
      <c r="F37" s="4">
        <f>SQRT((C43-I41)^2+(D43-J41)^2)</f>
        <v>25.43184365282902</v>
      </c>
      <c r="G37" t="s">
        <v>2</v>
      </c>
      <c r="H37">
        <f>(J40-J39)/(I40-I39)</f>
        <v>-0.48625703564704381</v>
      </c>
    </row>
    <row r="38" spans="1:10" x14ac:dyDescent="0.4">
      <c r="B38" t="s">
        <v>2</v>
      </c>
      <c r="C38">
        <f>(D43-D42)/(C43-C42)</f>
        <v>1.9522018145606688</v>
      </c>
      <c r="H38" s="1" t="s">
        <v>9</v>
      </c>
      <c r="I38" s="1" t="s">
        <v>0</v>
      </c>
      <c r="J38" s="1" t="s">
        <v>1</v>
      </c>
    </row>
    <row r="39" spans="1:10" x14ac:dyDescent="0.4">
      <c r="B39" t="s">
        <v>42</v>
      </c>
      <c r="C39">
        <f>C42</f>
        <v>-125132.436</v>
      </c>
      <c r="G39" t="s">
        <v>65</v>
      </c>
      <c r="H39" s="13" t="s">
        <v>71</v>
      </c>
      <c r="I39">
        <f>VLOOKUP(H39,点群_3[],MATCH(点群_3[[#Headers],[Xn2]],点群_3[#Headers],0),0)</f>
        <v>-125135.105</v>
      </c>
      <c r="J39">
        <f>VLOOKUP(H39,点群_3[],MATCH(点群_3[[#Headers],[Yn2]],点群_3[#Headers],0),0)</f>
        <v>-31051.226999999999</v>
      </c>
    </row>
    <row r="40" spans="1:10" x14ac:dyDescent="0.4">
      <c r="B40" t="s">
        <v>43</v>
      </c>
      <c r="C40">
        <f>D42</f>
        <v>-31058.758999999998</v>
      </c>
      <c r="G40" t="s">
        <v>66</v>
      </c>
      <c r="H40" s="13" t="s">
        <v>77</v>
      </c>
      <c r="I40">
        <f>VLOOKUP(H40,点群_3[],MATCH(点群_3[[#Headers],[Xn2]],点群_3[#Headers],0),0)</f>
        <v>-125156.425</v>
      </c>
      <c r="J40">
        <f>VLOOKUP(H40,点群_3[],MATCH(点群_3[[#Headers],[Yn2]],点群_3[#Headers],0),0)</f>
        <v>-31040.86</v>
      </c>
    </row>
    <row r="41" spans="1:10" x14ac:dyDescent="0.4">
      <c r="B41" s="1" t="s">
        <v>9</v>
      </c>
      <c r="C41" s="1" t="s">
        <v>0</v>
      </c>
      <c r="D41" s="1" t="s">
        <v>1</v>
      </c>
      <c r="E41" s="1"/>
      <c r="F41" s="1"/>
      <c r="G41" t="s">
        <v>67</v>
      </c>
      <c r="I41">
        <f>(傾き*C42-H37*I39-D42+J39)/(傾き-H37)</f>
        <v>-125129.87939340755</v>
      </c>
      <c r="J41">
        <f>(傾き*J39-H37*D42+傾き*H37*(C42-I39))/(傾き-H37)</f>
        <v>-31053.767987971103</v>
      </c>
    </row>
    <row r="42" spans="1:10" x14ac:dyDescent="0.4">
      <c r="A42" t="s">
        <v>12</v>
      </c>
      <c r="B42" s="13" t="s">
        <v>72</v>
      </c>
      <c r="C42">
        <f>VLOOKUP(B42,点群_3[],MATCH(点群_3[[#Headers],[Xn2]],点群_3[#Headers],0),0)</f>
        <v>-125132.436</v>
      </c>
      <c r="D42">
        <f>VLOOKUP(B42,点群_3[],MATCH(点群_3[[#Headers],[Yn2]],点群_3[#Headers],0),0)</f>
        <v>-31058.758999999998</v>
      </c>
      <c r="E42" t="s">
        <v>50</v>
      </c>
    </row>
    <row r="43" spans="1:10" x14ac:dyDescent="0.4">
      <c r="A43" t="s">
        <v>13</v>
      </c>
      <c r="B43" s="13" t="s">
        <v>74</v>
      </c>
      <c r="C43">
        <f>VLOOKUP(B43,点群_3[],MATCH(点群_3[[#Headers],[Xn2]],点群_3[#Headers],0),0)</f>
        <v>-125141.474</v>
      </c>
      <c r="D43">
        <f>VLOOKUP(B43,点群_3[],MATCH(点群_3[[#Headers],[Yn2]],点群_3[#Headers],0),0)</f>
        <v>-31076.402999999998</v>
      </c>
      <c r="E43" t="s">
        <v>51</v>
      </c>
    </row>
    <row r="45" spans="1:10" x14ac:dyDescent="0.4">
      <c r="A45" s="4" t="s">
        <v>63</v>
      </c>
    </row>
    <row r="46" spans="1:10" x14ac:dyDescent="0.4">
      <c r="B46" t="str">
        <f>INDEX(点群_3[点],MATCH(点群_3[[#Totals],[奥行距離]],点群_3[奥行距離],0),1)</f>
        <v xml:space="preserve">P000000139 </v>
      </c>
    </row>
    <row r="47" spans="1:10" x14ac:dyDescent="0.4">
      <c r="B47" s="4" t="s">
        <v>3</v>
      </c>
      <c r="C47" s="4">
        <f>点群_3[[#Totals],[奥行距離]]</f>
        <v>29.511158420313723</v>
      </c>
    </row>
    <row r="49" spans="1:6" x14ac:dyDescent="0.4">
      <c r="A49" s="4" t="s">
        <v>21</v>
      </c>
    </row>
    <row r="50" spans="1:6" x14ac:dyDescent="0.4">
      <c r="B50" s="4" t="s">
        <v>5</v>
      </c>
      <c r="C50" s="4">
        <f>SQRT((C54-C53)^2+(D54-D53)^2)</f>
        <v>25.310988893071833</v>
      </c>
    </row>
    <row r="51" spans="1:6" x14ac:dyDescent="0.4">
      <c r="B51" s="4" t="s">
        <v>3</v>
      </c>
      <c r="C51" s="4">
        <f>奥行距離</f>
        <v>29.511158420313723</v>
      </c>
    </row>
    <row r="52" spans="1:6" x14ac:dyDescent="0.4">
      <c r="B52" s="1" t="s">
        <v>9</v>
      </c>
      <c r="C52" s="1" t="s">
        <v>0</v>
      </c>
      <c r="D52" s="1" t="s">
        <v>1</v>
      </c>
      <c r="E52" s="1"/>
      <c r="F52" s="1"/>
    </row>
    <row r="53" spans="1:6" x14ac:dyDescent="0.4">
      <c r="A53" t="s">
        <v>19</v>
      </c>
      <c r="B53" s="8" t="str">
        <f>IF(直交点のＸ最大&lt;&gt;直交点のＸ最小,INDEX(点群_3[点],MATCH(直交点のＸ最小,点群_3[直交点Ｘ],0),1),INDEX(点群_3[点],MATCH(直交点のＹ最小,点群_3[直交点Ｙ],0),1))</f>
        <v xml:space="preserve">P000000141 </v>
      </c>
      <c r="C53">
        <f>VLOOKUP(B53,点群_3[],MATCH(点群_3[[#Headers],[直交点Ｘ]],点群_3[#Headers],0),0)</f>
        <v>-125141.47400000003</v>
      </c>
      <c r="D53">
        <f>VLOOKUP(B53,点群_3[],MATCH(点群_3[[#Headers],[直交点Ｙ]],点群_3[#Headers],0),0)</f>
        <v>-31076.402999999998</v>
      </c>
      <c r="E53" t="s">
        <v>48</v>
      </c>
    </row>
    <row r="54" spans="1:6" x14ac:dyDescent="0.4">
      <c r="A54" t="s">
        <v>20</v>
      </c>
      <c r="B54" s="8" t="str">
        <f>IF(直交点のＸ最大&lt;&gt;直交点のＸ最小,INDEX(点群_3[点],MATCH(直交点のＸ最大,点群_3[直交点Ｘ],0),1),INDEX(点群_3[点],MATCH(直交点のＹ最大,点群_3[直交点Ｙ],0),1))</f>
        <v xml:space="preserve">P000000112 </v>
      </c>
      <c r="C54">
        <f>VLOOKUP(B54,点群_3[],MATCH(点群_3[[#Headers],[直交点Ｘ]],点群_3[#Headers],0),0)</f>
        <v>-125129.9344921811</v>
      </c>
      <c r="D54">
        <f>VLOOKUP(B54,点群_3[],MATCH(点群_3[[#Headers],[直交点Ｙ]],点群_3[#Headers],0),0)</f>
        <v>-31053.875551896806</v>
      </c>
      <c r="E54" t="s">
        <v>49</v>
      </c>
    </row>
  </sheetData>
  <phoneticPr fontId="2"/>
  <pageMargins left="0.7" right="0.7" top="0.75" bottom="0.75" header="0.3" footer="0.3"/>
  <pageSetup paperSize="9" scale="71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F54D-867F-4C8F-925C-7AB609752C20}">
  <dimension ref="A1:I69"/>
  <sheetViews>
    <sheetView tabSelected="1" workbookViewId="0">
      <selection activeCell="B40" sqref="B40"/>
    </sheetView>
  </sheetViews>
  <sheetFormatPr defaultRowHeight="18.75" x14ac:dyDescent="0.4"/>
  <cols>
    <col min="1" max="1" width="4.875" customWidth="1"/>
    <col min="2" max="2" width="5.125" customWidth="1"/>
    <col min="7" max="7" width="5.875" customWidth="1"/>
  </cols>
  <sheetData>
    <row r="1" spans="1:7" x14ac:dyDescent="0.4">
      <c r="A1" s="14"/>
      <c r="B1" s="15"/>
      <c r="C1" s="15"/>
      <c r="D1" s="15"/>
      <c r="E1" s="15"/>
      <c r="F1" s="15"/>
      <c r="G1" s="16"/>
    </row>
    <row r="2" spans="1:7" x14ac:dyDescent="0.4">
      <c r="A2" s="17"/>
      <c r="B2" t="s">
        <v>105</v>
      </c>
      <c r="G2" s="18"/>
    </row>
    <row r="3" spans="1:7" x14ac:dyDescent="0.4">
      <c r="A3" s="17"/>
      <c r="C3" t="s">
        <v>106</v>
      </c>
      <c r="D3" s="4">
        <f>SQRT((E6-E5)^2+(F6-F5)^2)</f>
        <v>5</v>
      </c>
      <c r="G3" s="18"/>
    </row>
    <row r="4" spans="1:7" x14ac:dyDescent="0.4">
      <c r="A4" s="17"/>
      <c r="E4" t="s">
        <v>0</v>
      </c>
      <c r="F4" t="s">
        <v>1</v>
      </c>
      <c r="G4" s="18"/>
    </row>
    <row r="5" spans="1:7" x14ac:dyDescent="0.4">
      <c r="A5" s="17"/>
      <c r="D5" t="s">
        <v>90</v>
      </c>
      <c r="E5" s="3">
        <v>0</v>
      </c>
      <c r="F5" s="3">
        <v>0</v>
      </c>
      <c r="G5" s="18"/>
    </row>
    <row r="6" spans="1:7" x14ac:dyDescent="0.4">
      <c r="A6" s="17"/>
      <c r="D6" t="s">
        <v>91</v>
      </c>
      <c r="E6" s="3">
        <v>3</v>
      </c>
      <c r="F6" s="3">
        <v>4</v>
      </c>
      <c r="G6" s="18"/>
    </row>
    <row r="7" spans="1:7" ht="19.5" thickBot="1" x14ac:dyDescent="0.45">
      <c r="A7" s="21"/>
      <c r="B7" s="22"/>
      <c r="C7" s="22"/>
      <c r="D7" s="22"/>
      <c r="E7" s="22"/>
      <c r="F7" s="22"/>
      <c r="G7" s="23"/>
    </row>
    <row r="8" spans="1:7" ht="19.5" thickBot="1" x14ac:dyDescent="0.45"/>
    <row r="9" spans="1:7" x14ac:dyDescent="0.4">
      <c r="A9" s="14"/>
      <c r="B9" s="15"/>
      <c r="C9" s="15"/>
      <c r="D9" s="15"/>
      <c r="E9" s="15"/>
      <c r="F9" s="15"/>
      <c r="G9" s="16"/>
    </row>
    <row r="10" spans="1:7" x14ac:dyDescent="0.4">
      <c r="A10" s="17"/>
      <c r="B10" t="s">
        <v>96</v>
      </c>
      <c r="G10" s="18"/>
    </row>
    <row r="11" spans="1:7" x14ac:dyDescent="0.4">
      <c r="A11" s="17"/>
      <c r="C11" t="s">
        <v>88</v>
      </c>
      <c r="D11" t="s">
        <v>2</v>
      </c>
      <c r="E11" s="19">
        <f>(F15-F14)/(E15-E14)</f>
        <v>1.3333333333333333</v>
      </c>
      <c r="G11" s="18"/>
    </row>
    <row r="12" spans="1:7" x14ac:dyDescent="0.4">
      <c r="A12" s="17"/>
      <c r="D12" t="s">
        <v>87</v>
      </c>
      <c r="E12" s="19">
        <f>(F14*E15-F15*E14)/(E15-E14)</f>
        <v>0</v>
      </c>
      <c r="G12" s="18"/>
    </row>
    <row r="13" spans="1:7" x14ac:dyDescent="0.4">
      <c r="A13" s="17"/>
      <c r="E13" t="s">
        <v>0</v>
      </c>
      <c r="F13" t="s">
        <v>1</v>
      </c>
      <c r="G13" s="18"/>
    </row>
    <row r="14" spans="1:7" x14ac:dyDescent="0.4">
      <c r="A14" s="17"/>
      <c r="D14" t="s">
        <v>85</v>
      </c>
      <c r="E14" s="3">
        <v>0</v>
      </c>
      <c r="F14" s="3">
        <v>0</v>
      </c>
      <c r="G14" s="18"/>
    </row>
    <row r="15" spans="1:7" x14ac:dyDescent="0.4">
      <c r="A15" s="17"/>
      <c r="D15" t="s">
        <v>86</v>
      </c>
      <c r="E15" s="3">
        <v>3</v>
      </c>
      <c r="F15" s="3">
        <v>4</v>
      </c>
      <c r="G15" s="18"/>
    </row>
    <row r="16" spans="1:7" ht="19.5" thickBot="1" x14ac:dyDescent="0.45">
      <c r="A16" s="21"/>
      <c r="B16" s="22"/>
      <c r="C16" s="22"/>
      <c r="D16" s="22"/>
      <c r="E16" s="22"/>
      <c r="F16" s="22"/>
      <c r="G16" s="23"/>
    </row>
    <row r="17" spans="1:9" ht="19.5" thickBot="1" x14ac:dyDescent="0.45"/>
    <row r="18" spans="1:9" x14ac:dyDescent="0.4">
      <c r="A18" s="14"/>
      <c r="B18" s="15"/>
      <c r="C18" s="15"/>
      <c r="D18" s="15"/>
      <c r="E18" s="15"/>
      <c r="F18" s="15"/>
      <c r="G18" s="16"/>
    </row>
    <row r="19" spans="1:9" x14ac:dyDescent="0.4">
      <c r="A19" s="17"/>
      <c r="B19" t="s">
        <v>94</v>
      </c>
      <c r="G19" s="18"/>
    </row>
    <row r="20" spans="1:9" x14ac:dyDescent="0.4">
      <c r="A20" s="17"/>
      <c r="E20" t="s">
        <v>0</v>
      </c>
      <c r="F20" t="s">
        <v>1</v>
      </c>
      <c r="G20" s="18"/>
    </row>
    <row r="21" spans="1:9" x14ac:dyDescent="0.4">
      <c r="A21" s="17"/>
      <c r="D21" t="s">
        <v>95</v>
      </c>
      <c r="E21" s="4">
        <f>-(E25-E32)/(E24-E31)</f>
        <v>3.0000000000000004</v>
      </c>
      <c r="F21" s="4">
        <f>-(E31*E25-E24*E32)/(E24-E31)</f>
        <v>4</v>
      </c>
      <c r="G21" s="18"/>
    </row>
    <row r="22" spans="1:9" x14ac:dyDescent="0.4">
      <c r="A22" s="17"/>
      <c r="G22" s="18"/>
    </row>
    <row r="23" spans="1:9" x14ac:dyDescent="0.4">
      <c r="A23" s="17"/>
      <c r="C23" t="s">
        <v>96</v>
      </c>
      <c r="G23" s="18"/>
    </row>
    <row r="24" spans="1:9" x14ac:dyDescent="0.4">
      <c r="A24" s="17"/>
      <c r="C24" t="s">
        <v>88</v>
      </c>
      <c r="D24" t="s">
        <v>2</v>
      </c>
      <c r="E24" s="24">
        <f>(F28-F27)/(E28-E27)</f>
        <v>1.3333333333333333</v>
      </c>
      <c r="G24" s="18"/>
      <c r="I24" t="s">
        <v>108</v>
      </c>
    </row>
    <row r="25" spans="1:9" x14ac:dyDescent="0.4">
      <c r="A25" s="17"/>
      <c r="D25" t="s">
        <v>87</v>
      </c>
      <c r="E25" s="24">
        <f>(F27*E28-F28*E27)/(E28-E27)</f>
        <v>0</v>
      </c>
      <c r="G25" s="18"/>
      <c r="I25" t="s">
        <v>109</v>
      </c>
    </row>
    <row r="26" spans="1:9" x14ac:dyDescent="0.4">
      <c r="A26" s="17"/>
      <c r="E26" t="s">
        <v>0</v>
      </c>
      <c r="F26" t="s">
        <v>1</v>
      </c>
      <c r="G26" s="18"/>
    </row>
    <row r="27" spans="1:9" x14ac:dyDescent="0.4">
      <c r="A27" s="17"/>
      <c r="D27" t="s">
        <v>85</v>
      </c>
      <c r="E27" s="3">
        <v>0</v>
      </c>
      <c r="F27" s="3">
        <v>0</v>
      </c>
      <c r="G27" s="18"/>
    </row>
    <row r="28" spans="1:9" x14ac:dyDescent="0.4">
      <c r="A28" s="17"/>
      <c r="D28" t="s">
        <v>86</v>
      </c>
      <c r="E28" s="3">
        <v>3</v>
      </c>
      <c r="F28" s="3">
        <v>4</v>
      </c>
      <c r="G28" s="18"/>
    </row>
    <row r="29" spans="1:9" x14ac:dyDescent="0.4">
      <c r="A29" s="17"/>
      <c r="G29" s="18"/>
    </row>
    <row r="30" spans="1:9" x14ac:dyDescent="0.4">
      <c r="A30" s="17"/>
      <c r="C30" t="s">
        <v>97</v>
      </c>
      <c r="G30" s="18"/>
    </row>
    <row r="31" spans="1:9" x14ac:dyDescent="0.4">
      <c r="A31" s="17"/>
      <c r="C31" t="s">
        <v>89</v>
      </c>
      <c r="D31" t="s">
        <v>2</v>
      </c>
      <c r="E31" s="24">
        <f>(F35-F34)/(E35-E34)</f>
        <v>-1</v>
      </c>
      <c r="G31" s="18"/>
      <c r="I31" t="s">
        <v>110</v>
      </c>
    </row>
    <row r="32" spans="1:9" x14ac:dyDescent="0.4">
      <c r="A32" s="17"/>
      <c r="D32" t="s">
        <v>87</v>
      </c>
      <c r="E32" s="24">
        <f>(F34*E35-F35*E34)/(E35-E34)</f>
        <v>7</v>
      </c>
      <c r="G32" s="18"/>
      <c r="I32" t="s">
        <v>109</v>
      </c>
    </row>
    <row r="33" spans="1:9" x14ac:dyDescent="0.4">
      <c r="A33" s="17"/>
      <c r="E33" t="s">
        <v>0</v>
      </c>
      <c r="F33" t="s">
        <v>1</v>
      </c>
      <c r="G33" s="18"/>
    </row>
    <row r="34" spans="1:9" x14ac:dyDescent="0.4">
      <c r="A34" s="17"/>
      <c r="D34" t="s">
        <v>92</v>
      </c>
      <c r="E34" s="3">
        <v>0</v>
      </c>
      <c r="F34" s="3">
        <v>7</v>
      </c>
      <c r="G34" s="18"/>
    </row>
    <row r="35" spans="1:9" x14ac:dyDescent="0.4">
      <c r="A35" s="17"/>
      <c r="D35" t="s">
        <v>93</v>
      </c>
      <c r="E35" s="3">
        <v>7</v>
      </c>
      <c r="F35" s="3">
        <v>0</v>
      </c>
      <c r="G35" s="18"/>
    </row>
    <row r="36" spans="1:9" ht="19.5" thickBot="1" x14ac:dyDescent="0.45">
      <c r="A36" s="21"/>
      <c r="B36" s="22"/>
      <c r="C36" s="22"/>
      <c r="D36" s="22"/>
      <c r="E36" s="22"/>
      <c r="F36" s="22"/>
      <c r="G36" s="23"/>
    </row>
    <row r="37" spans="1:9" ht="19.5" thickBot="1" x14ac:dyDescent="0.45"/>
    <row r="38" spans="1:9" x14ac:dyDescent="0.4">
      <c r="A38" s="14"/>
      <c r="B38" s="15"/>
      <c r="C38" s="15"/>
      <c r="D38" s="15"/>
      <c r="E38" s="15"/>
      <c r="F38" s="15"/>
      <c r="G38" s="16"/>
    </row>
    <row r="39" spans="1:9" x14ac:dyDescent="0.4">
      <c r="A39" s="17"/>
      <c r="B39" t="s">
        <v>111</v>
      </c>
      <c r="G39" s="18"/>
    </row>
    <row r="40" spans="1:9" x14ac:dyDescent="0.4">
      <c r="A40" s="17"/>
      <c r="C40" t="s">
        <v>107</v>
      </c>
      <c r="D40" t="s">
        <v>2</v>
      </c>
      <c r="E40" s="19">
        <f>-1/E43</f>
        <v>-0.75</v>
      </c>
      <c r="G40" s="18"/>
    </row>
    <row r="41" spans="1:9" x14ac:dyDescent="0.4">
      <c r="A41" s="17"/>
      <c r="D41" t="s">
        <v>87</v>
      </c>
      <c r="E41" s="19">
        <f>-E40*E49+F49</f>
        <v>6.25</v>
      </c>
      <c r="G41" s="18"/>
    </row>
    <row r="42" spans="1:9" x14ac:dyDescent="0.4">
      <c r="A42" s="17"/>
      <c r="G42" s="18"/>
    </row>
    <row r="43" spans="1:9" x14ac:dyDescent="0.4">
      <c r="A43" s="17"/>
      <c r="C43" t="s">
        <v>88</v>
      </c>
      <c r="D43" t="s">
        <v>2</v>
      </c>
      <c r="E43" s="24">
        <f>(F47-F46)/(E47-E46)</f>
        <v>1.3333333333333333</v>
      </c>
      <c r="G43" s="18"/>
      <c r="I43" t="s">
        <v>108</v>
      </c>
    </row>
    <row r="44" spans="1:9" x14ac:dyDescent="0.4">
      <c r="A44" s="17"/>
      <c r="D44" t="s">
        <v>87</v>
      </c>
      <c r="E44" s="24">
        <f>(F46*E47-F47*E46)/(E47-E46)</f>
        <v>0</v>
      </c>
      <c r="G44" s="18"/>
      <c r="I44" t="s">
        <v>109</v>
      </c>
    </row>
    <row r="45" spans="1:9" x14ac:dyDescent="0.4">
      <c r="A45" s="17"/>
      <c r="E45" t="s">
        <v>0</v>
      </c>
      <c r="F45" t="s">
        <v>1</v>
      </c>
      <c r="G45" s="18"/>
    </row>
    <row r="46" spans="1:9" x14ac:dyDescent="0.4">
      <c r="A46" s="17"/>
      <c r="D46" t="s">
        <v>85</v>
      </c>
      <c r="E46" s="3">
        <v>0</v>
      </c>
      <c r="F46" s="3">
        <v>0</v>
      </c>
      <c r="G46" s="18"/>
    </row>
    <row r="47" spans="1:9" x14ac:dyDescent="0.4">
      <c r="A47" s="17"/>
      <c r="D47" t="s">
        <v>86</v>
      </c>
      <c r="E47" s="3">
        <v>3</v>
      </c>
      <c r="F47" s="3">
        <v>4</v>
      </c>
      <c r="G47" s="18"/>
    </row>
    <row r="48" spans="1:9" x14ac:dyDescent="0.4">
      <c r="A48" s="17"/>
      <c r="G48" s="18"/>
    </row>
    <row r="49" spans="1:7" x14ac:dyDescent="0.4">
      <c r="A49" s="17"/>
      <c r="D49" t="s">
        <v>98</v>
      </c>
      <c r="E49" s="3">
        <v>3</v>
      </c>
      <c r="F49" s="3">
        <v>4</v>
      </c>
      <c r="G49" s="18"/>
    </row>
    <row r="50" spans="1:7" ht="19.5" thickBot="1" x14ac:dyDescent="0.45">
      <c r="A50" s="21"/>
      <c r="B50" s="22"/>
      <c r="C50" s="22"/>
      <c r="D50" s="22"/>
      <c r="E50" s="22"/>
      <c r="F50" s="22"/>
      <c r="G50" s="23"/>
    </row>
    <row r="51" spans="1:7" ht="19.5" thickBot="1" x14ac:dyDescent="0.45"/>
    <row r="52" spans="1:7" x14ac:dyDescent="0.4">
      <c r="A52" s="14"/>
      <c r="B52" s="15"/>
      <c r="C52" s="15"/>
      <c r="D52" s="15"/>
      <c r="E52" s="15"/>
      <c r="F52" s="15"/>
      <c r="G52" s="16"/>
    </row>
    <row r="53" spans="1:7" x14ac:dyDescent="0.4">
      <c r="A53" s="17"/>
      <c r="B53" t="s">
        <v>101</v>
      </c>
      <c r="G53" s="18"/>
    </row>
    <row r="54" spans="1:7" x14ac:dyDescent="0.4">
      <c r="A54" s="17"/>
      <c r="E54" t="s">
        <v>0</v>
      </c>
      <c r="F54" t="s">
        <v>1</v>
      </c>
      <c r="G54" s="18"/>
    </row>
    <row r="55" spans="1:7" x14ac:dyDescent="0.4">
      <c r="A55" s="17"/>
      <c r="D55" t="s">
        <v>99</v>
      </c>
      <c r="E55" s="19">
        <f>E64+E66*(E62-E61)/E68</f>
        <v>1.4142135623730949</v>
      </c>
      <c r="F55" s="19">
        <f>F64+E66*(F62-F61)/E68</f>
        <v>1.4142135623730949</v>
      </c>
      <c r="G55" s="18"/>
    </row>
    <row r="56" spans="1:7" x14ac:dyDescent="0.4">
      <c r="A56" s="17"/>
      <c r="D56" t="s">
        <v>102</v>
      </c>
      <c r="E56" s="19">
        <f>E64-E66*(E62-E61)/E68</f>
        <v>-1.4142135623730949</v>
      </c>
      <c r="F56" s="19">
        <f>F64-E66*(F62-F61)/E68</f>
        <v>-1.4142135623730949</v>
      </c>
      <c r="G56" s="18"/>
    </row>
    <row r="57" spans="1:7" x14ac:dyDescent="0.4">
      <c r="A57" s="17"/>
      <c r="G57" s="18"/>
    </row>
    <row r="58" spans="1:7" x14ac:dyDescent="0.4">
      <c r="A58" s="17"/>
      <c r="C58" t="s">
        <v>88</v>
      </c>
      <c r="D58" t="s">
        <v>2</v>
      </c>
      <c r="E58" s="20">
        <f>(F62-F61)/(E62-E61)</f>
        <v>1</v>
      </c>
      <c r="G58" s="18"/>
    </row>
    <row r="59" spans="1:7" x14ac:dyDescent="0.4">
      <c r="A59" s="17"/>
      <c r="D59" t="s">
        <v>87</v>
      </c>
      <c r="E59" s="20">
        <f>(F61*E62-F62*E61)/(E62-E61)</f>
        <v>0</v>
      </c>
      <c r="G59" s="18"/>
    </row>
    <row r="60" spans="1:7" x14ac:dyDescent="0.4">
      <c r="A60" s="17"/>
      <c r="E60" t="s">
        <v>0</v>
      </c>
      <c r="F60" t="s">
        <v>1</v>
      </c>
      <c r="G60" s="18"/>
    </row>
    <row r="61" spans="1:7" x14ac:dyDescent="0.4">
      <c r="A61" s="17"/>
      <c r="D61" t="s">
        <v>85</v>
      </c>
      <c r="E61" s="3">
        <v>0</v>
      </c>
      <c r="F61" s="3">
        <v>0</v>
      </c>
      <c r="G61" s="18"/>
    </row>
    <row r="62" spans="1:7" x14ac:dyDescent="0.4">
      <c r="A62" s="17"/>
      <c r="D62" t="s">
        <v>86</v>
      </c>
      <c r="E62" s="3">
        <v>1</v>
      </c>
      <c r="F62" s="3">
        <v>1</v>
      </c>
      <c r="G62" s="18"/>
    </row>
    <row r="63" spans="1:7" x14ac:dyDescent="0.4">
      <c r="A63" s="17"/>
      <c r="G63" s="18"/>
    </row>
    <row r="64" spans="1:7" x14ac:dyDescent="0.4">
      <c r="A64" s="17"/>
      <c r="D64" t="s">
        <v>100</v>
      </c>
      <c r="E64" s="3">
        <v>0</v>
      </c>
      <c r="F64" s="3">
        <v>0</v>
      </c>
      <c r="G64" s="18"/>
    </row>
    <row r="65" spans="1:7" x14ac:dyDescent="0.4">
      <c r="A65" s="17"/>
      <c r="G65" s="18"/>
    </row>
    <row r="66" spans="1:7" x14ac:dyDescent="0.4">
      <c r="A66" s="17"/>
      <c r="D66" t="s">
        <v>103</v>
      </c>
      <c r="E66" s="3">
        <v>2</v>
      </c>
      <c r="G66" s="18"/>
    </row>
    <row r="67" spans="1:7" x14ac:dyDescent="0.4">
      <c r="A67" s="17"/>
      <c r="G67" s="18"/>
    </row>
    <row r="68" spans="1:7" x14ac:dyDescent="0.4">
      <c r="A68" s="17"/>
      <c r="D68" t="s">
        <v>104</v>
      </c>
      <c r="E68">
        <f>SQRT((E62-E61)^2+(F62-F61)^2)</f>
        <v>1.4142135623730951</v>
      </c>
      <c r="G68" s="18"/>
    </row>
    <row r="69" spans="1:7" ht="19.5" thickBot="1" x14ac:dyDescent="0.45">
      <c r="A69" s="21"/>
      <c r="B69" s="22"/>
      <c r="C69" s="22"/>
      <c r="D69" s="22"/>
      <c r="E69" s="22"/>
      <c r="F69" s="22"/>
      <c r="G69" s="23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9B91D-33DE-4EC0-8FFF-C7A69DCA8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51</vt:i4>
      </vt:variant>
    </vt:vector>
  </HeadingPairs>
  <TitlesOfParts>
    <vt:vector size="55" baseType="lpstr">
      <vt:lpstr>測量データ</vt:lpstr>
      <vt:lpstr>自己測定データ</vt:lpstr>
      <vt:lpstr>隅切り</vt:lpstr>
      <vt:lpstr>汎用</vt:lpstr>
      <vt:lpstr>隅切り!AX</vt:lpstr>
      <vt:lpstr>自己測定データ!AX</vt:lpstr>
      <vt:lpstr>測量データ!AX</vt:lpstr>
      <vt:lpstr>隅切り!AY</vt:lpstr>
      <vt:lpstr>自己測定データ!AY</vt:lpstr>
      <vt:lpstr>測量データ!AY</vt:lpstr>
      <vt:lpstr>隅切り!奥行距離</vt:lpstr>
      <vt:lpstr>自己測定データ!奥行距離</vt:lpstr>
      <vt:lpstr>測量データ!奥行距離</vt:lpstr>
      <vt:lpstr>隅切り!間口距離</vt:lpstr>
      <vt:lpstr>自己測定データ!間口距離</vt:lpstr>
      <vt:lpstr>測量データ!間口距離</vt:lpstr>
      <vt:lpstr>隅切り!傾き</vt:lpstr>
      <vt:lpstr>自己測定データ!傾き</vt:lpstr>
      <vt:lpstr>測量データ!傾き</vt:lpstr>
      <vt:lpstr>隅切り!最後Ｘ</vt:lpstr>
      <vt:lpstr>自己測定データ!最後Ｘ</vt:lpstr>
      <vt:lpstr>測量データ!最後X</vt:lpstr>
      <vt:lpstr>隅切り!最後Ｙ</vt:lpstr>
      <vt:lpstr>自己測定データ!最後Ｙ</vt:lpstr>
      <vt:lpstr>測量データ!最後Y</vt:lpstr>
      <vt:lpstr>隅切り!最初Ｘ</vt:lpstr>
      <vt:lpstr>自己測定データ!最初Ｘ</vt:lpstr>
      <vt:lpstr>測量データ!最初X</vt:lpstr>
      <vt:lpstr>隅切り!最初Ｙ</vt:lpstr>
      <vt:lpstr>自己測定データ!最初Ｙ</vt:lpstr>
      <vt:lpstr>測量データ!最初Y</vt:lpstr>
      <vt:lpstr>隅切り!実際の距離</vt:lpstr>
      <vt:lpstr>自己測定データ!実際の距離</vt:lpstr>
      <vt:lpstr>測量データ!実際の距離</vt:lpstr>
      <vt:lpstr>隅切り!縮尺</vt:lpstr>
      <vt:lpstr>自己測定データ!縮尺</vt:lpstr>
      <vt:lpstr>測量データ!縮尺</vt:lpstr>
      <vt:lpstr>隅切り!図上の距離</vt:lpstr>
      <vt:lpstr>自己測定データ!図上の距離</vt:lpstr>
      <vt:lpstr>測量データ!図上の距離</vt:lpstr>
      <vt:lpstr>隅切り!直交点のＸ最小</vt:lpstr>
      <vt:lpstr>自己測定データ!直交点のＸ最小</vt:lpstr>
      <vt:lpstr>測量データ!直交点のX最小</vt:lpstr>
      <vt:lpstr>隅切り!直交点のＸ最大</vt:lpstr>
      <vt:lpstr>自己測定データ!直交点のＸ最大</vt:lpstr>
      <vt:lpstr>測量データ!直交点のX最大</vt:lpstr>
      <vt:lpstr>隅切り!直交点のＹ最小</vt:lpstr>
      <vt:lpstr>自己測定データ!直交点のＹ最小</vt:lpstr>
      <vt:lpstr>測量データ!直交点のY最小</vt:lpstr>
      <vt:lpstr>隅切り!直交点のＹ最大</vt:lpstr>
      <vt:lpstr>自己測定データ!直交点のＹ最大</vt:lpstr>
      <vt:lpstr>測量データ!直交点のY最大</vt:lpstr>
      <vt:lpstr>隅切り!面積</vt:lpstr>
      <vt:lpstr>自己測定データ!面積</vt:lpstr>
      <vt:lpstr>測量データ!面積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2024-09-13T02:54:42Z</dcterms:created>
  <dcterms:modified xsi:type="dcterms:W3CDTF">2025-05-06T09:30:32Z</dcterms:modified>
</cp:coreProperties>
</file>